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baraa\Desktop\rerea\"/>
    </mc:Choice>
  </mc:AlternateContent>
  <xr:revisionPtr revIDLastSave="0" documentId="13_ncr:1_{B02EF08B-86CB-45D0-8FFF-8A7D947F14F1}" xr6:coauthVersionLast="47" xr6:coauthVersionMax="47" xr10:uidLastSave="{00000000-0000-0000-0000-000000000000}"/>
  <bookViews>
    <workbookView xWindow="-108" yWindow="-108" windowWidth="23256" windowHeight="12456" tabRatio="833" firstSheet="15" activeTab="20" xr2:uid="{00000000-000D-0000-FFFF-FFFF00000000}"/>
  </bookViews>
  <sheets>
    <sheet name="Cover" sheetId="20" r:id="rId1"/>
    <sheet name="Index" sheetId="19" r:id="rId2"/>
    <sheet name="Audit Report" sheetId="18" r:id="rId3"/>
    <sheet name="1_project details" sheetId="2" r:id="rId4"/>
    <sheet name="2 _IS" sheetId="3" r:id="rId5"/>
    <sheet name="3 BS" sheetId="4" r:id="rId6"/>
    <sheet name="4_other income" sheetId="14" r:id="rId7"/>
    <sheet name="5. Budget vs Actuals" sheetId="7" r:id="rId8"/>
    <sheet name="6_change in suppliers" sheetId="6" r:id="rId9"/>
    <sheet name="7. community improvement" sheetId="12" r:id="rId10"/>
    <sheet name="8. reserve fund expense" sheetId="11" r:id="rId11"/>
    <sheet name="9. unplanned maint&amp; accruals" sheetId="15" r:id="rId12"/>
    <sheet name="10. bank balances" sheetId="8" r:id="rId13"/>
    <sheet name="11. unit balances" sheetId="9" r:id="rId14"/>
    <sheet name="12. supplier balance" sheetId="10" r:id="rId15"/>
    <sheet name="13 accruals" sheetId="16" r:id="rId16"/>
    <sheet name="14. transactions with developer" sheetId="13" r:id="rId17"/>
    <sheet name="15. transactions with devel " sheetId="17" r:id="rId18"/>
    <sheet name="16. Notes Summary" sheetId="21" r:id="rId19"/>
    <sheet name="17. PBC Checklist Status" sheetId="22" r:id="rId20"/>
    <sheet name="18. Requirements Tracker" sheetId="23" r:id="rId21"/>
  </sheets>
  <definedNames>
    <definedName name="_Hlk152849472" localSheetId="2">'Audit Report'!$B$3</definedName>
    <definedName name="_xlnm.Print_Area" localSheetId="3">'1_project details'!$A$1:$G$26</definedName>
    <definedName name="_xlnm.Print_Area" localSheetId="12">'10. bank balances'!$A$1:$M$83</definedName>
    <definedName name="_xlnm.Print_Area" localSheetId="13">'11. unit balances'!$A$1:$M$85</definedName>
    <definedName name="_xlnm.Print_Area" localSheetId="14">'12. supplier balance'!$A$1:$K$44</definedName>
    <definedName name="_xlnm.Print_Area" localSheetId="15">'13 accruals'!$A$1:$Q$46</definedName>
    <definedName name="_xlnm.Print_Area" localSheetId="16">'14. transactions with developer'!$A$1:$L$38</definedName>
    <definedName name="_xlnm.Print_Area" localSheetId="17">'15. transactions with devel '!$A$1:$L$36</definedName>
    <definedName name="_xlnm.Print_Area" localSheetId="4">'2 _IS'!$A$1:$M$56</definedName>
    <definedName name="_xlnm.Print_Area" localSheetId="5">'3 BS'!$A$1:$M$66</definedName>
    <definedName name="_xlnm.Print_Area" localSheetId="6">'4_other income'!$A$1:$M$32</definedName>
    <definedName name="_xlnm.Print_Area" localSheetId="7">'5. Budget vs Actuals'!$A$1:$I$48</definedName>
    <definedName name="_xlnm.Print_Area" localSheetId="8">'6_change in suppliers'!$A$1:$L$41</definedName>
    <definedName name="_xlnm.Print_Area" localSheetId="9">'7. community improvement'!$A$1:$N$33</definedName>
    <definedName name="_xlnm.Print_Area" localSheetId="10">'8. reserve fund expense'!$A$1:$L$42</definedName>
    <definedName name="_xlnm.Print_Area" localSheetId="11">'9. unplanned maint&amp; accruals'!$A$1:$L$28</definedName>
    <definedName name="_xlnm.Print_Area" localSheetId="2">'Audit Report'!$A$1:$J$299</definedName>
    <definedName name="_xlnm.Print_Area" localSheetId="0">Cover!$A$1:$J$42</definedName>
    <definedName name="_xlnm.Print_Area" localSheetId="1">Index!$A$1:$L$37</definedName>
    <definedName name="_xlnm.Print_Titles" localSheetId="12">'10. bank balances'!$1:$8</definedName>
    <definedName name="_xlnm.Print_Titles" localSheetId="13">'11. unit balances'!$1:$8</definedName>
    <definedName name="_xlnm.Print_Titles" localSheetId="14">'12. supplier balance'!$1:$9</definedName>
    <definedName name="_xlnm.Print_Titles" localSheetId="15">'13 accruals'!$1:$9</definedName>
    <definedName name="_xlnm.Print_Titles" localSheetId="16">'14. transactions with developer'!$1:$8</definedName>
    <definedName name="_xlnm.Print_Titles" localSheetId="17">'15. transactions with devel '!$1:$8</definedName>
    <definedName name="_xlnm.Print_Titles" localSheetId="7">'5. Budget vs Actuals'!$2:$13</definedName>
    <definedName name="_xlnm.Print_Titles" localSheetId="8">'6_change in suppliers'!$2:$11</definedName>
    <definedName name="_xlnm.Print_Titles" localSheetId="9">'7. community improvement'!$1:$9</definedName>
    <definedName name="_xlnm.Print_Titles" localSheetId="10">'8. reserve fund expense'!$1:$7</definedName>
    <definedName name="_xlnm.Print_Titles" localSheetId="11">'9. unplanned maint&amp; accruals'!$1:$8</definedName>
    <definedName name="_xlnm.Print_Titles" localSheetId="2">'Audit Report'!$1:$2</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3" i="3" l="1"/>
  <c r="K23" i="8"/>
  <c r="Q16" i="16" l="1"/>
  <c r="Q17" i="16"/>
  <c r="Q18" i="16"/>
  <c r="Q19" i="16"/>
  <c r="Q20" i="16"/>
  <c r="Q21" i="16"/>
  <c r="Q22" i="16"/>
  <c r="Q23" i="16"/>
  <c r="Q24" i="16"/>
  <c r="Q25" i="16"/>
  <c r="Q26" i="16"/>
  <c r="Q27" i="16"/>
  <c r="Q28" i="16"/>
  <c r="Q29" i="16"/>
  <c r="Q30" i="16"/>
  <c r="Q31" i="16"/>
  <c r="Q32" i="16"/>
  <c r="Q33" i="16"/>
  <c r="Q34" i="16"/>
  <c r="Q35" i="16"/>
  <c r="Q36" i="16"/>
  <c r="Q37" i="16"/>
  <c r="Q15" i="16"/>
  <c r="E14" i="6" l="1"/>
  <c r="E15" i="6"/>
  <c r="E16" i="6"/>
  <c r="E17" i="6"/>
  <c r="K30" i="13" l="1"/>
  <c r="K53" i="8" l="1"/>
  <c r="K16" i="8"/>
  <c r="M13" i="14"/>
  <c r="M14" i="14" s="1"/>
  <c r="M15" i="14" s="1"/>
  <c r="M16" i="14" s="1"/>
  <c r="M17" i="14" s="1"/>
  <c r="M18" i="14" s="1"/>
  <c r="M19" i="14" s="1"/>
  <c r="M20" i="14" s="1"/>
  <c r="M21" i="14" s="1"/>
  <c r="M22" i="14" s="1"/>
  <c r="Q39" i="16"/>
  <c r="O39" i="16"/>
  <c r="M39" i="16"/>
  <c r="K39" i="16"/>
  <c r="I39" i="16"/>
  <c r="G39" i="16"/>
  <c r="M43" i="3" l="1"/>
  <c r="K43" i="3"/>
  <c r="I43" i="3"/>
  <c r="G43" i="3"/>
  <c r="K24" i="14"/>
  <c r="I24" i="14"/>
  <c r="G24" i="14"/>
  <c r="K60" i="8"/>
  <c r="K62" i="8" s="1"/>
  <c r="K66" i="8" s="1"/>
  <c r="M53" i="8"/>
  <c r="I53" i="8"/>
  <c r="G53" i="8"/>
  <c r="I16" i="8"/>
  <c r="G16" i="8"/>
  <c r="D50" i="7"/>
  <c r="M19" i="3"/>
  <c r="K19" i="3"/>
  <c r="I19" i="3"/>
  <c r="G19" i="3"/>
  <c r="I45" i="3" l="1"/>
  <c r="G47" i="3" s="1"/>
  <c r="K25" i="8"/>
  <c r="G45" i="3"/>
  <c r="M45" i="3"/>
  <c r="K47" i="3" s="1"/>
  <c r="K45" i="3"/>
  <c r="M67" i="4" l="1"/>
  <c r="M68" i="4"/>
  <c r="G49" i="3"/>
  <c r="K49" i="3"/>
  <c r="K67" i="4" l="1"/>
  <c r="K68" i="4"/>
</calcChain>
</file>

<file path=xl/sharedStrings.xml><?xml version="1.0" encoding="utf-8"?>
<sst xmlns="http://schemas.openxmlformats.org/spreadsheetml/2006/main" count="976" uniqueCount="692">
  <si>
    <t>Registered address of the developer</t>
  </si>
  <si>
    <t>Authorized Signatory</t>
  </si>
  <si>
    <t>Name:</t>
  </si>
  <si>
    <t>Company stamp</t>
  </si>
  <si>
    <t xml:space="preserve">General fund </t>
  </si>
  <si>
    <t>Reserve fund</t>
  </si>
  <si>
    <t xml:space="preserve">Reserve fund </t>
  </si>
  <si>
    <t>Service charge</t>
  </si>
  <si>
    <t>In-unit chilled water</t>
  </si>
  <si>
    <t>Other income</t>
  </si>
  <si>
    <t>Maintenance</t>
  </si>
  <si>
    <t>Services</t>
  </si>
  <si>
    <t>Management fee</t>
  </si>
  <si>
    <t>Community improvements</t>
  </si>
  <si>
    <t>Provision for expected credit loss</t>
  </si>
  <si>
    <t xml:space="preserve">Reversal of expected credit loss </t>
  </si>
  <si>
    <t>Surplus/(deficit)</t>
  </si>
  <si>
    <t>As at</t>
  </si>
  <si>
    <t xml:space="preserve">As at </t>
  </si>
  <si>
    <t>INCOME</t>
  </si>
  <si>
    <t>EXPENDITURE</t>
  </si>
  <si>
    <t>ASSETS</t>
  </si>
  <si>
    <t>FUNDS AND LIABILITIES</t>
  </si>
  <si>
    <t>Security deposits</t>
  </si>
  <si>
    <t>Total income</t>
  </si>
  <si>
    <t>Total expenditure</t>
  </si>
  <si>
    <t>Prepaid expenses</t>
  </si>
  <si>
    <t>Advances</t>
  </si>
  <si>
    <t>Service charge receivable</t>
  </si>
  <si>
    <t>In-unit chilled water receivable</t>
  </si>
  <si>
    <t>Other income receivable</t>
  </si>
  <si>
    <t>Receivable from other JOPS</t>
  </si>
  <si>
    <t>Other receivables</t>
  </si>
  <si>
    <t>Short term deposit</t>
  </si>
  <si>
    <t>Bank current account</t>
  </si>
  <si>
    <t>Regulated bank - reserve fund</t>
  </si>
  <si>
    <t>Regulated bank - general fund</t>
  </si>
  <si>
    <t>Total assets</t>
  </si>
  <si>
    <t>Accumulated funds</t>
  </si>
  <si>
    <t>General fund</t>
  </si>
  <si>
    <t>Other funds</t>
  </si>
  <si>
    <t>Liabilities</t>
  </si>
  <si>
    <t>Security deposit</t>
  </si>
  <si>
    <t>Service charge received in advance</t>
  </si>
  <si>
    <t>Due from related party</t>
  </si>
  <si>
    <t>Due from developer and its associated entities</t>
  </si>
  <si>
    <t>Due from management company &amp; its associated entities</t>
  </si>
  <si>
    <t>Due to developer and its associated entities</t>
  </si>
  <si>
    <t>Due to related parties</t>
  </si>
  <si>
    <t>Due to management companies and its associated entities</t>
  </si>
  <si>
    <t>Accounts payable</t>
  </si>
  <si>
    <t xml:space="preserve">Other payable </t>
  </si>
  <si>
    <t>Working capital loan from developer/ management company</t>
  </si>
  <si>
    <t>Total funds and liabilities</t>
  </si>
  <si>
    <t>Accrued expenses</t>
  </si>
  <si>
    <t>Other cash and cash equivalents</t>
  </si>
  <si>
    <t>Audited</t>
  </si>
  <si>
    <t>Mollak code</t>
  </si>
  <si>
    <t>Service name</t>
  </si>
  <si>
    <t>Supplier name</t>
  </si>
  <si>
    <t>Budget</t>
  </si>
  <si>
    <t>Actual</t>
  </si>
  <si>
    <t>Annual</t>
  </si>
  <si>
    <t>6 months</t>
  </si>
  <si>
    <t>Actuals</t>
  </si>
  <si>
    <t>Reasons for variance</t>
  </si>
  <si>
    <t>(Deficit)   /Surplus</t>
  </si>
  <si>
    <t>Supplier name as per the approved budget</t>
  </si>
  <si>
    <t>Name of the actual service provider</t>
  </si>
  <si>
    <t>Receipts</t>
  </si>
  <si>
    <t>Balance</t>
  </si>
  <si>
    <t>Months</t>
  </si>
  <si>
    <t>Bank reconciliation items</t>
  </si>
  <si>
    <t>Unrealized deposits</t>
  </si>
  <si>
    <t>Unrealized payments</t>
  </si>
  <si>
    <t>Other reconciliation items</t>
  </si>
  <si>
    <t>Unit No</t>
  </si>
  <si>
    <t>Reserve fund billed</t>
  </si>
  <si>
    <t>Closing balance</t>
  </si>
  <si>
    <t>Closing balance : receivable/ (advance)</t>
  </si>
  <si>
    <t>Mollak balance</t>
  </si>
  <si>
    <t>Difference</t>
  </si>
  <si>
    <t>In-unit consumption</t>
  </si>
  <si>
    <t>In-unit other charges</t>
  </si>
  <si>
    <t>In-unit billing charges</t>
  </si>
  <si>
    <t>Opening balance : receivable/ (advance)</t>
  </si>
  <si>
    <t>In-unit security deposit</t>
  </si>
  <si>
    <t>General fund billed</t>
  </si>
  <si>
    <t>Bank reconciliation is complete signed and approved (Yes/ No)</t>
  </si>
  <si>
    <t>Service charge receivable reconciliation</t>
  </si>
  <si>
    <t>In-unit chilled water receivable reconciliation ( 3rd party billing )</t>
  </si>
  <si>
    <t>Maturity profiles</t>
  </si>
  <si>
    <t>Maturity period</t>
  </si>
  <si>
    <t>AED</t>
  </si>
  <si>
    <t>Less than 90 days</t>
  </si>
  <si>
    <t>91 to 180 days</t>
  </si>
  <si>
    <t>181 days to 365 days</t>
  </si>
  <si>
    <t>More than 365 days</t>
  </si>
  <si>
    <t>Remark for expected credit loss</t>
  </si>
  <si>
    <t>Value of expected credit loss</t>
  </si>
  <si>
    <t>Remarks</t>
  </si>
  <si>
    <t>Supplier balance reconciliation</t>
  </si>
  <si>
    <t>SOA balance</t>
  </si>
  <si>
    <t>Maturity profile</t>
  </si>
  <si>
    <t>Note :</t>
  </si>
  <si>
    <t>2)</t>
  </si>
  <si>
    <t xml:space="preserve">1) RERA has communicated to management companies guidelines for reserve fund expenses </t>
  </si>
  <si>
    <t>2) Each expense should be separately mentioned</t>
  </si>
  <si>
    <t>(less)/ excess in reserve fund bank balance</t>
  </si>
  <si>
    <t>1)</t>
  </si>
  <si>
    <t>3)</t>
  </si>
  <si>
    <t>4)</t>
  </si>
  <si>
    <t>5)</t>
  </si>
  <si>
    <t>6)</t>
  </si>
  <si>
    <t>Selected bid :</t>
  </si>
  <si>
    <t>Reference to assets life cycle plan study:</t>
  </si>
  <si>
    <t>Reserve fund expense -1 ____________________________</t>
  </si>
  <si>
    <t>Name of the bidder</t>
  </si>
  <si>
    <t>In-unit demand charge</t>
  </si>
  <si>
    <t>Community Improvement 1 : _____________________________</t>
  </si>
  <si>
    <t>Name of the supplier</t>
  </si>
  <si>
    <t xml:space="preserve">Budget </t>
  </si>
  <si>
    <t>Bid 1:</t>
  </si>
  <si>
    <t>Bid 2:</t>
  </si>
  <si>
    <t>Bid 3:</t>
  </si>
  <si>
    <t>Bid 4:</t>
  </si>
  <si>
    <t>Bid 5:</t>
  </si>
  <si>
    <t>Bid 6:</t>
  </si>
  <si>
    <t>Nature of the transactions</t>
  </si>
  <si>
    <t>Note : separate table should be presented when transactions take place more than one party</t>
  </si>
  <si>
    <t>Year 2022</t>
  </si>
  <si>
    <t>As per the balance confirmation</t>
  </si>
  <si>
    <t>Remarks :</t>
  </si>
  <si>
    <t>Description</t>
  </si>
  <si>
    <t>Billed      (including VAT)</t>
  </si>
  <si>
    <t>Recognized in PL (without VAT)</t>
  </si>
  <si>
    <t>Total</t>
  </si>
  <si>
    <t>Notes</t>
  </si>
  <si>
    <t>Nature of expense</t>
  </si>
  <si>
    <t>No of tenders called</t>
  </si>
  <si>
    <t>Utility</t>
  </si>
  <si>
    <t>Insurance</t>
  </si>
  <si>
    <t xml:space="preserve">Master community </t>
  </si>
  <si>
    <t>Reserve fund expense</t>
  </si>
  <si>
    <t>1 Jan to 30 Jun 2023</t>
  </si>
  <si>
    <t>Audited 2022</t>
  </si>
  <si>
    <t>Year 2023</t>
  </si>
  <si>
    <t>June 2023</t>
  </si>
  <si>
    <t>Bank balance as of 30 June 2023</t>
  </si>
  <si>
    <t>Accumulated reserve fund balance as of 30 June 2023</t>
  </si>
  <si>
    <t xml:space="preserve">Accrued in </t>
  </si>
  <si>
    <t>Total (AED)</t>
  </si>
  <si>
    <t>Year 2020</t>
  </si>
  <si>
    <t>Year 2021</t>
  </si>
  <si>
    <t>As at 30 June 2023</t>
  </si>
  <si>
    <t>Prior to year 2020</t>
  </si>
  <si>
    <t>Annexure 5: Budget Vs Actuals</t>
  </si>
  <si>
    <t>Annexure 7: Community Improvement</t>
  </si>
  <si>
    <t>Annexure 8: Reserve Fund Expense</t>
  </si>
  <si>
    <t>Verification of Property observer</t>
  </si>
  <si>
    <t xml:space="preserve">Name of the property observer </t>
  </si>
  <si>
    <t>Confirmation of life of asset expired</t>
  </si>
  <si>
    <t>Confirmation on work is completed</t>
  </si>
  <si>
    <t>Verification of quotation</t>
  </si>
  <si>
    <t>Yes/No</t>
  </si>
  <si>
    <t>Annexure 10 : Bank Balances</t>
  </si>
  <si>
    <t>Annexure 11: Reconciliation of Service Charge Receivable Opening Balance to Closing Balance</t>
  </si>
  <si>
    <t>Annexure 13: List of accrued expenses</t>
  </si>
  <si>
    <t>(Payable)/ receivable at 1 January 2023 ( as per audited accounts)</t>
  </si>
  <si>
    <t>(Payable)/ receivable at 30 June 2023</t>
  </si>
  <si>
    <t>confirmation on Requirement of assets replacement</t>
  </si>
  <si>
    <t xml:space="preserve">Budgets </t>
  </si>
  <si>
    <t>General fund bank</t>
  </si>
  <si>
    <t>Receipts as per books</t>
  </si>
  <si>
    <t>Payments as per books</t>
  </si>
  <si>
    <t>Reserve fund bank</t>
  </si>
  <si>
    <t>In-unit chilled water billed ( additional item)</t>
  </si>
  <si>
    <t>Annexure 2 : Statement of Income and Expenditure</t>
  </si>
  <si>
    <t>All numbers are VAT exclusive</t>
  </si>
  <si>
    <t>Inv No</t>
  </si>
  <si>
    <t>Ledger closing balance (AED)</t>
  </si>
  <si>
    <t>RDC cases/ auction cases submitted during Jan to Jun 2023</t>
  </si>
  <si>
    <t>opening balance</t>
  </si>
  <si>
    <t>Annexure 3 :Statement of Financial Position</t>
  </si>
  <si>
    <t>Reason why no tender</t>
  </si>
  <si>
    <t>Transactions with management</t>
  </si>
  <si>
    <t>annexure 15 transactions with management company</t>
  </si>
  <si>
    <t>Annexure 14: Transactions with Developer or Affiliated Entities of Developer</t>
  </si>
  <si>
    <t>Notes:</t>
  </si>
  <si>
    <t>all the transactions should be mentioned including management fee</t>
  </si>
  <si>
    <t>Reasons why the reserve fund bank balance is less than accumulated amount to date:</t>
  </si>
  <si>
    <t>tender details on large items</t>
  </si>
  <si>
    <t>Bank recon should be prepared and authorized by the manager registered on Mollak</t>
  </si>
  <si>
    <t>Balance 1 Jan 2023</t>
  </si>
  <si>
    <t>Balance 30 Jun 2023</t>
  </si>
  <si>
    <t>Opening</t>
  </si>
  <si>
    <t>Closing</t>
  </si>
  <si>
    <t>total other income receivable is mentioned as opening balance</t>
  </si>
  <si>
    <t>RERA guideline for reserve fund payment</t>
  </si>
  <si>
    <t>Annexure 9: Unplanned Expenses/ Minor Repairs / general repairs</t>
  </si>
  <si>
    <t>Developer name.  trade license number and its expiry date</t>
  </si>
  <si>
    <t>Name of the management company and trade license number and its  expiry date of trade licence</t>
  </si>
  <si>
    <t>Annexure 15: Transactions with JOP management company</t>
  </si>
  <si>
    <t>Name of the JOP, no of units / components and the master community in which JOP is located</t>
  </si>
  <si>
    <t>Non- regulated bank accounts - bank reconciliation should be prepared for each bank account</t>
  </si>
  <si>
    <t>Bank book balance 1 Jun 2023</t>
  </si>
  <si>
    <t>Annexure 12: List of suppliers' balances</t>
  </si>
  <si>
    <t xml:space="preserve">any opening balances from the former management company should be included </t>
  </si>
  <si>
    <t>Annexure 4: Other Income</t>
  </si>
  <si>
    <t>A1.01</t>
  </si>
  <si>
    <t>Cleaning Common Area</t>
  </si>
  <si>
    <t>A1.05</t>
  </si>
  <si>
    <t>Facade Cleaning</t>
  </si>
  <si>
    <t>A1.21</t>
  </si>
  <si>
    <t>Garbage Chute Cleaning</t>
  </si>
  <si>
    <t>A11.02</t>
  </si>
  <si>
    <t>DCD Fees</t>
  </si>
  <si>
    <t>A2.01</t>
  </si>
  <si>
    <t>Security Services</t>
  </si>
  <si>
    <t>A2.02</t>
  </si>
  <si>
    <t>Lifeguard</t>
  </si>
  <si>
    <t>A4.01</t>
  </si>
  <si>
    <t>General Pest Control Service</t>
  </si>
  <si>
    <t>A5.01</t>
  </si>
  <si>
    <t>Waste collection and bin removal</t>
  </si>
  <si>
    <t>A8.01</t>
  </si>
  <si>
    <t>Financial Audit fees</t>
  </si>
  <si>
    <t>A8.10</t>
  </si>
  <si>
    <t>Budget Review Fee</t>
  </si>
  <si>
    <t>B11.01</t>
  </si>
  <si>
    <t>B1.13</t>
  </si>
  <si>
    <t>MEP Services</t>
  </si>
  <si>
    <t>B12.05</t>
  </si>
  <si>
    <t>Swimming Pool Maintenance</t>
  </si>
  <si>
    <t>B12.12</t>
  </si>
  <si>
    <t>Gym Other Operating Expense</t>
  </si>
  <si>
    <t>B14.03</t>
  </si>
  <si>
    <t>Elevator Certificate</t>
  </si>
  <si>
    <t>B14.07</t>
  </si>
  <si>
    <t>Water Tank Cleaning</t>
  </si>
  <si>
    <t>B6.03</t>
  </si>
  <si>
    <t>Lift, Elevator And Escalators</t>
  </si>
  <si>
    <t>B6.06</t>
  </si>
  <si>
    <t>Fire Alarm System</t>
  </si>
  <si>
    <t>B6.07</t>
  </si>
  <si>
    <t>Generator Service</t>
  </si>
  <si>
    <t>B6.10</t>
  </si>
  <si>
    <t>Access Control System</t>
  </si>
  <si>
    <t>B6.11</t>
  </si>
  <si>
    <t>CCTV System</t>
  </si>
  <si>
    <t>B6.19</t>
  </si>
  <si>
    <t>Garbage Chute System And Compactors</t>
  </si>
  <si>
    <t>B13.04</t>
  </si>
  <si>
    <t>R And M Building (General)</t>
  </si>
  <si>
    <t>E1.01</t>
  </si>
  <si>
    <t>Electricity Charges</t>
  </si>
  <si>
    <t>F1.01</t>
  </si>
  <si>
    <t>Management Fees</t>
  </si>
  <si>
    <t>G1.01</t>
  </si>
  <si>
    <t>Property All Risk</t>
  </si>
  <si>
    <t>H1.01</t>
  </si>
  <si>
    <t>Master Community Charges</t>
  </si>
  <si>
    <t>M1.01</t>
  </si>
  <si>
    <t>Reserved Fund</t>
  </si>
  <si>
    <t>A5.02</t>
  </si>
  <si>
    <t>B6.04</t>
  </si>
  <si>
    <t>Waste Skip Collection</t>
  </si>
  <si>
    <t>Fire Fighting System</t>
  </si>
  <si>
    <t>ACME Technical Service</t>
  </si>
  <si>
    <t>Dforce</t>
  </si>
  <si>
    <t>KANZ</t>
  </si>
  <si>
    <t>SUEZ</t>
  </si>
  <si>
    <t>KGRN Auditing</t>
  </si>
  <si>
    <t>SGY</t>
  </si>
  <si>
    <t>Barneek</t>
  </si>
  <si>
    <t>Coral Blue</t>
  </si>
  <si>
    <t>Firesecure</t>
  </si>
  <si>
    <t>Garant</t>
  </si>
  <si>
    <t>ACE Owners Association Management</t>
  </si>
  <si>
    <t>Noortakaful</t>
  </si>
  <si>
    <t>Name of the JOP: Park Ville 07</t>
  </si>
  <si>
    <t xml:space="preserve">Name of the JOP: Park Ville 07 </t>
  </si>
  <si>
    <t>Project name: Park Ville 07</t>
  </si>
  <si>
    <t xml:space="preserve">ACME Technical Services </t>
  </si>
  <si>
    <t>ACME Technical Services</t>
  </si>
  <si>
    <t>Garant technical Services LLC</t>
  </si>
  <si>
    <t>Ace Owners Association Management</t>
  </si>
  <si>
    <t>Al Yousuf</t>
  </si>
  <si>
    <t>Coral blue</t>
  </si>
  <si>
    <t>ACME Technical Services LLC</t>
  </si>
  <si>
    <t>Payable - Utilities</t>
  </si>
  <si>
    <t>Ace Owners Association</t>
  </si>
  <si>
    <t>Acme Technical Consultancies</t>
  </si>
  <si>
    <t>Barneek Safety Consultancies</t>
  </si>
  <si>
    <t>D Force Lifeguard</t>
  </si>
  <si>
    <t>D Force Security Services</t>
  </si>
  <si>
    <t>Kanz Pest Control Services</t>
  </si>
  <si>
    <t>Suez Recycling &amp; Waste Recovery UAE</t>
  </si>
  <si>
    <t>VEOLIA MIDDLE EAST RECYCLING L.L.C</t>
  </si>
  <si>
    <t>Dewa Paid By Developer</t>
  </si>
  <si>
    <t>Bank book balance 30 Jun 2023</t>
  </si>
  <si>
    <t>Yes</t>
  </si>
  <si>
    <t>Hardware/Software License Fees</t>
  </si>
  <si>
    <t>Name of the management company: Ace Owners Association Management</t>
  </si>
  <si>
    <t>Nature of the transactions : Management Fee Receivable</t>
  </si>
  <si>
    <t>1. Management Fee Payable From 01 January 2023 to 30 June 2023</t>
  </si>
  <si>
    <t>Dubai Civil Defence</t>
  </si>
  <si>
    <t>KGRN</t>
  </si>
  <si>
    <t>Mollak</t>
  </si>
  <si>
    <t>Nakheel</t>
  </si>
  <si>
    <t>Pioneer Services</t>
  </si>
  <si>
    <t>Fire Secure</t>
  </si>
  <si>
    <t>Auto Data</t>
  </si>
  <si>
    <t>ACME</t>
  </si>
  <si>
    <t>Veolia</t>
  </si>
  <si>
    <t>Façade Cleaning</t>
  </si>
  <si>
    <t>Mollak License Fee</t>
  </si>
  <si>
    <t>Hardware and Software</t>
  </si>
  <si>
    <t>Elevator Inspection</t>
  </si>
  <si>
    <t>Lift Maintenance</t>
  </si>
  <si>
    <t>Fire Alarm</t>
  </si>
  <si>
    <t>Insurance Expenses</t>
  </si>
  <si>
    <t>R and M Building General</t>
  </si>
  <si>
    <t>Pest Control Services</t>
  </si>
  <si>
    <t>Coral Blue Cleaning</t>
  </si>
  <si>
    <t>Kanz</t>
  </si>
  <si>
    <t>DCD Fee</t>
  </si>
  <si>
    <t>Audit Fee 2022</t>
  </si>
  <si>
    <t>Budget Review Fee 2022</t>
  </si>
  <si>
    <t>Reserve Fund Study</t>
  </si>
  <si>
    <t>Fire Fighting</t>
  </si>
  <si>
    <t>CCTV Maintenance</t>
  </si>
  <si>
    <t>Waste Collection</t>
  </si>
  <si>
    <t>DCD Fee 2023</t>
  </si>
  <si>
    <t>Omega</t>
  </si>
  <si>
    <t>Annexure 1: Project Details</t>
  </si>
  <si>
    <t>Name of the developer: Dar Al Mumtaz Real Estate Developments LLC</t>
  </si>
  <si>
    <t>(Payable) / receivable at January 1, 2023 ( as per audited accounts)</t>
  </si>
  <si>
    <t>(Payable) / receivable at June 30, 2023</t>
  </si>
  <si>
    <t>Balance January 1, 2023 - as per audited accounts</t>
  </si>
  <si>
    <t>Contract 
from</t>
  </si>
  <si>
    <t>Contract 
to</t>
  </si>
  <si>
    <t>Contract value   ( AED) inclusive  VAT</t>
  </si>
  <si>
    <t>Annexure 6: Change in Service Providers</t>
  </si>
  <si>
    <t>Dear Sirs,</t>
  </si>
  <si>
    <t>Project details</t>
  </si>
  <si>
    <t>Budget vs. actual</t>
  </si>
  <si>
    <t>Bank balance</t>
  </si>
  <si>
    <t>Reserve fund expenses</t>
  </si>
  <si>
    <t>Budget 6 months</t>
  </si>
  <si>
    <t>Actuals 6 months</t>
  </si>
  <si>
    <t>Surplus</t>
  </si>
  <si>
    <t>Actual expenses less than the budget</t>
  </si>
  <si>
    <t xml:space="preserve"> </t>
  </si>
  <si>
    <t>Reserve Fund Bank Balance</t>
  </si>
  <si>
    <t xml:space="preserve">             </t>
  </si>
  <si>
    <t>We have obtained all the information and explanations which, to the best of our knowledge and belief, are necessary for the purpose of our report.</t>
  </si>
  <si>
    <t>Because the above procedures do not constitute either an audit or a review made in accordance with International Standards on Auditing or International Standards on Review Engagements, we do not express any assurance on the Report.</t>
  </si>
  <si>
    <t>Had we performed additional procedures or had we performed an audit or review of the financial statements in accordance with International Standards on Auditing or International Standards on Review Engagements, other matters might have come to our attention that would have been reported to you.</t>
  </si>
  <si>
    <t>Our report is solely for the purpose set forth in the first paragraph of this report and for your information and is not to be used for any other purpose or to be distributed to any other parties except for submission to RERA. This report relates only to the accounts and items specified above and do not extend to any financial statements of JOP, taken as a whole.</t>
  </si>
  <si>
    <t>Yours faithfully,</t>
  </si>
  <si>
    <t xml:space="preserve">Parker Russell Obaid Auditing  </t>
  </si>
  <si>
    <t>Mansour Abdul Wahab</t>
  </si>
  <si>
    <t xml:space="preserve">Registered Auditor No. 381 </t>
  </si>
  <si>
    <t>Dubai, United Arab Emirates</t>
  </si>
  <si>
    <t>Annexures (signed by Management Company)</t>
  </si>
  <si>
    <t xml:space="preserve">                  </t>
  </si>
  <si>
    <t xml:space="preserve">                    </t>
  </si>
  <si>
    <t>(Deficit) / Surplus</t>
  </si>
  <si>
    <t>Accumulated Reserve Fund Balance</t>
  </si>
  <si>
    <t xml:space="preserve">               </t>
  </si>
  <si>
    <t xml:space="preserve">                     </t>
  </si>
  <si>
    <t>7.       Reserve fund expenses</t>
  </si>
  <si>
    <t>8.       Community improvements</t>
  </si>
  <si>
    <t>1.       Project details</t>
  </si>
  <si>
    <t>2.       Statement of Income and expenditure and financial position</t>
  </si>
  <si>
    <t>3.       Budget vs. actual</t>
  </si>
  <si>
    <t xml:space="preserve"> O   We received the signed supplier agreements, and  we receive the purchase orders of  contractual expenses.</t>
  </si>
  <si>
    <t xml:space="preserve"> O   We received the month-wise utility schedule and month-wise utility bills and no exceptions were noted.</t>
  </si>
  <si>
    <t>4.       Bank balance</t>
  </si>
  <si>
    <t xml:space="preserve">10.    Transactions with Developer or affiliated entities </t>
  </si>
  <si>
    <t>1. Project details</t>
  </si>
  <si>
    <r>
      <t xml:space="preserve">O </t>
    </r>
    <r>
      <rPr>
        <sz val="11"/>
        <rFont val="Calibri"/>
        <family val="2"/>
        <scheme val="minor"/>
      </rPr>
      <t xml:space="preserve">We received the trade license of the developer along with the registered address. </t>
    </r>
  </si>
  <si>
    <r>
      <t xml:space="preserve">O </t>
    </r>
    <r>
      <rPr>
        <sz val="11"/>
        <rFont val="Calibri"/>
        <family val="2"/>
        <scheme val="minor"/>
      </rPr>
      <t xml:space="preserve">We obtained the JOP details from the Dubai Land Department as provided by the management </t>
    </r>
    <r>
      <rPr>
        <sz val="11"/>
        <color theme="1"/>
        <rFont val="Calibri"/>
        <family val="2"/>
        <scheme val="minor"/>
      </rPr>
      <t>company.</t>
    </r>
  </si>
  <si>
    <r>
      <rPr>
        <sz val="11"/>
        <rFont val="Calibri"/>
        <family val="2"/>
        <scheme val="minor"/>
      </rPr>
      <t>O We obtained the trade license and registered address of the management company, and no</t>
    </r>
    <r>
      <rPr>
        <sz val="11"/>
        <color theme="1"/>
        <rFont val="Calibri"/>
        <family val="2"/>
        <scheme val="minor"/>
      </rPr>
      <t xml:space="preserve">  exceptions were found as of the reporting date. </t>
    </r>
  </si>
  <si>
    <t xml:space="preserve">O We received the building completion certificate from the management company. </t>
  </si>
  <si>
    <t xml:space="preserve">O  We obtained the Statement of income and expenditure and statement of financial position and agreed with the ledger and no exceptions were noted. </t>
  </si>
  <si>
    <t>O   We found that all income, expenses, assets, and liabilities were classified as per RERA  requirements.</t>
  </si>
  <si>
    <t>O   We verified the insurance tax invoice and policy to verify the insurance and no exceptions were noted.</t>
  </si>
  <si>
    <t xml:space="preserve">O   We did not receive the invoice and SOA from the master community. </t>
  </si>
  <si>
    <t xml:space="preserve">O   We checked management costs with the budget and no exceptions were noted. However, budget is not yet approved by RERA until the period of interim Audit.     </t>
  </si>
  <si>
    <t xml:space="preserve">O   We checked budgeted amounts with the actual amounts as per the trial balance and found variances in budget and actual and obtained explanations from the management company for the expenditures which are exceeding the budget as follows. Budget approval for 2023 is not yet received from RERA. </t>
  </si>
  <si>
    <r>
      <t xml:space="preserve">O  </t>
    </r>
    <r>
      <rPr>
        <sz val="11"/>
        <color rgb="FF000000"/>
        <rFont val="Calibri"/>
        <family val="2"/>
        <scheme val="minor"/>
      </rPr>
      <t>We Have received the supporting documents for ad-hoc expenses / open accruals.</t>
    </r>
  </si>
  <si>
    <r>
      <t>O</t>
    </r>
    <r>
      <rPr>
        <sz val="11"/>
        <color rgb="FF000000"/>
        <rFont val="Calibri"/>
        <family val="2"/>
        <scheme val="minor"/>
      </rPr>
      <t xml:space="preserve">   We have receive the month-wise bank reconciliation signed by the head of finance for all the </t>
    </r>
    <r>
      <rPr>
        <sz val="11"/>
        <rFont val="Calibri"/>
        <family val="2"/>
        <scheme val="minor"/>
      </rPr>
      <t>bank accounts maintained for the JOP.</t>
    </r>
  </si>
  <si>
    <r>
      <t>O</t>
    </r>
    <r>
      <rPr>
        <sz val="11"/>
        <color rgb="FF000000"/>
        <rFont val="Calibri"/>
        <family val="2"/>
        <scheme val="minor"/>
      </rPr>
      <t xml:space="preserve">   We obtained bank statements for reserve fund and general fund. Bank confirmation for both </t>
    </r>
    <r>
      <rPr>
        <sz val="11"/>
        <rFont val="Calibri"/>
        <family val="2"/>
        <scheme val="minor"/>
      </rPr>
      <t>the accounts provided.</t>
    </r>
  </si>
  <si>
    <t xml:space="preserve">It is informed by the Management Company that the Reserve Fund shortage shall be funded once the service charge invoices  are generated.         </t>
  </si>
  <si>
    <t>5. Reconciliation of service charge receivable/in-unit chilled water  opening balance to closing balance.</t>
  </si>
  <si>
    <r>
      <t>O</t>
    </r>
    <r>
      <rPr>
        <sz val="11"/>
        <color rgb="FF000000"/>
        <rFont val="Calibri"/>
        <family val="2"/>
        <scheme val="minor"/>
      </rPr>
      <t xml:space="preserve">   We obtained the schedule of the unit-wise receivable balance from opening to closing balance. </t>
    </r>
  </si>
  <si>
    <r>
      <t>O</t>
    </r>
    <r>
      <rPr>
        <sz val="11"/>
        <color rgb="FF000000"/>
        <rFont val="Calibri"/>
        <family val="2"/>
        <scheme val="minor"/>
      </rPr>
      <t xml:space="preserve">   No invoicing was done to the unit owners for the 6-month period ended June 30, 2023 as the</t>
    </r>
    <r>
      <rPr>
        <sz val="11"/>
        <rFont val="Calibri"/>
        <family val="2"/>
        <scheme val="minor"/>
      </rPr>
      <t xml:space="preserve"> budget was not approved by RERA. However, management company has booked accruals for this period.   </t>
    </r>
  </si>
  <si>
    <t xml:space="preserve">6. Reconciliation of supplier opening balance to closing balance </t>
  </si>
  <si>
    <r>
      <t>O</t>
    </r>
    <r>
      <rPr>
        <sz val="11"/>
        <color rgb="FF000000"/>
        <rFont val="Calibri"/>
        <family val="2"/>
        <scheme val="minor"/>
      </rPr>
      <t xml:space="preserve">  We have received the schedule of reconciliation of supplier opening balances to closing balances</t>
    </r>
  </si>
  <si>
    <r>
      <rPr>
        <sz val="11"/>
        <rFont val="Calibri"/>
        <family val="2"/>
        <scheme val="minor"/>
      </rPr>
      <t xml:space="preserve">O  </t>
    </r>
    <r>
      <rPr>
        <sz val="11"/>
        <color rgb="FF000000"/>
        <rFont val="Calibri"/>
        <family val="2"/>
        <scheme val="minor"/>
      </rPr>
      <t xml:space="preserve">We obtained the maturity profile of the suppliers at the reporting date and no exceptions were found. </t>
    </r>
  </si>
  <si>
    <r>
      <rPr>
        <sz val="11"/>
        <rFont val="Calibri"/>
        <family val="2"/>
        <scheme val="minor"/>
      </rPr>
      <t xml:space="preserve">O </t>
    </r>
    <r>
      <rPr>
        <sz val="11"/>
        <color rgb="FF000000"/>
        <rFont val="Calibri"/>
        <family val="2"/>
        <scheme val="minor"/>
      </rPr>
      <t xml:space="preserve">Management confirms that the non-settlement of supplier is due to pending approval of budget from RERA. </t>
    </r>
  </si>
  <si>
    <r>
      <rPr>
        <sz val="11"/>
        <rFont val="Calibri"/>
        <family val="2"/>
        <scheme val="minor"/>
      </rPr>
      <t xml:space="preserve">O  </t>
    </r>
    <r>
      <rPr>
        <sz val="11"/>
        <color rgb="FF000000"/>
        <rFont val="Calibri"/>
        <family val="2"/>
        <scheme val="minor"/>
      </rPr>
      <t xml:space="preserve">There were no reserve fund expenses during the 6-month period ended June 30, 2023. </t>
    </r>
  </si>
  <si>
    <r>
      <t xml:space="preserve">O </t>
    </r>
    <r>
      <rPr>
        <sz val="11"/>
        <color theme="1"/>
        <rFont val="Calibri"/>
        <family val="2"/>
        <scheme val="minor"/>
      </rPr>
      <t xml:space="preserve">There were no community improvements during the 6-month period ended June 30, 2022.  </t>
    </r>
  </si>
  <si>
    <r>
      <rPr>
        <sz val="11"/>
        <rFont val="Calibri"/>
        <family val="2"/>
        <scheme val="minor"/>
      </rPr>
      <t xml:space="preserve">O </t>
    </r>
    <r>
      <rPr>
        <sz val="11"/>
        <color rgb="FF000000"/>
        <rFont val="Calibri"/>
        <family val="2"/>
        <scheme val="minor"/>
      </rPr>
      <t xml:space="preserve">We obtained the list of unplanned maintenance expenses and accruals. </t>
    </r>
  </si>
  <si>
    <t xml:space="preserve">O We obtained the list of companies and their relationship with the developer and no exceptions were found.  </t>
  </si>
  <si>
    <t xml:space="preserve">O We have receive the trade license of the developer and the registered business address of the developer. </t>
  </si>
  <si>
    <t xml:space="preserve">O There are transactions with the developer in the 6-month period ended June 30, 2023. Opening balance is carried forward. </t>
  </si>
  <si>
    <t xml:space="preserve">O  We did have receive written confirmation from the developer or affiliated entities confirming the balance as of June 30, 2023. </t>
  </si>
  <si>
    <t>CONTENTS</t>
  </si>
  <si>
    <t xml:space="preserve">PAGE </t>
  </si>
  <si>
    <t>Agreed upon Procedures Report on the Interim Financial Reporting (“Report”)</t>
  </si>
  <si>
    <t>1 - 6</t>
  </si>
  <si>
    <t>XI. Reconciliation of Service Charge Receivable Opening Balance to Closing Balance</t>
  </si>
  <si>
    <t>VIII. Community improvements</t>
  </si>
  <si>
    <t>IX. Unplanned maintenance/ minor repairs/ MEP spares &amp; accruals</t>
  </si>
  <si>
    <t xml:space="preserve">X. Transactions with Developer or affiliated entities </t>
  </si>
  <si>
    <t>XII. List of suppliers' balances</t>
  </si>
  <si>
    <t>XIII. List of accrued expenses</t>
  </si>
  <si>
    <t>XIV. Transactions with Developer or Affiliated Entities of Developer</t>
  </si>
  <si>
    <t>XV. Transactions with JOP management company</t>
  </si>
  <si>
    <t>Annexures</t>
  </si>
  <si>
    <t>PARK VILLE 07</t>
  </si>
  <si>
    <t>INTERNATIONAL CITY, NAKHEEL.</t>
  </si>
  <si>
    <t>AGREED UPON PROCEDURES REPORT ON THE INTERIM FINANCIAL REPORTING (“REPORT”)</t>
  </si>
  <si>
    <t>DUBAI - UNITED ARAB EMIRATES</t>
  </si>
  <si>
    <r>
      <rPr>
        <sz val="11"/>
        <rFont val="Calibri"/>
        <family val="2"/>
        <scheme val="minor"/>
      </rPr>
      <t>O</t>
    </r>
    <r>
      <rPr>
        <sz val="11"/>
        <color rgb="FF000000"/>
        <rFont val="Calibri"/>
        <family val="2"/>
        <scheme val="minor"/>
      </rPr>
      <t xml:space="preserve"> We have received the tendering documents for the accruals booked for unplanned maintenance. </t>
    </r>
  </si>
  <si>
    <r>
      <t xml:space="preserve">O   </t>
    </r>
    <r>
      <rPr>
        <sz val="11"/>
        <color rgb="FF000000"/>
        <rFont val="Calibri"/>
        <family val="2"/>
        <scheme val="minor"/>
      </rPr>
      <t xml:space="preserve">We found a difference between reserve fund bank balance and the accumulated reserve fund </t>
    </r>
    <r>
      <rPr>
        <sz val="11"/>
        <rFont val="Calibri"/>
        <family val="2"/>
        <scheme val="minor"/>
      </rPr>
      <t>balance as follows:</t>
    </r>
  </si>
  <si>
    <t>9.       Unplanned maintenance / minor repairs / MEP spares &amp; accruals</t>
  </si>
  <si>
    <t>FOR THE SIX MONTHS PERIOD ENDING JUNE 30, 2023</t>
  </si>
  <si>
    <t>("A JOINTLY OWNED PROPERTY")</t>
  </si>
  <si>
    <t>18 - 20</t>
  </si>
  <si>
    <t>Dubai, United Arab Emirates.</t>
  </si>
  <si>
    <t>Our procedures were performed solely for the purpose of reporting our findings to RERA based on the information and documents submitted to us by the Management Company. Our engagement was undertaken in accordance with International Standard on Related Services (ISRS) 4400 (Revised), Agreed-Upon Procedures Engagements.</t>
  </si>
  <si>
    <t>The details of the procedures performed and the related findings are set out below:</t>
  </si>
  <si>
    <t>Statement of financial position</t>
  </si>
  <si>
    <t xml:space="preserve">Statement of Income and expenditure </t>
  </si>
  <si>
    <t>Statement of other income</t>
  </si>
  <si>
    <t>Changes in suppliers</t>
  </si>
  <si>
    <t>Community improvement</t>
  </si>
  <si>
    <t>Unplanned maintenance</t>
  </si>
  <si>
    <t>Supplies' balances</t>
  </si>
  <si>
    <t>List of accruals</t>
  </si>
  <si>
    <t>Transactions with the developer or affiliated entities of the developer</t>
  </si>
  <si>
    <r>
      <t xml:space="preserve">We have performed the procedures prescribed by the Real Estate Regulatory Agency (“RERA”) in Circular No. 2 of 2026 (the “Circular”), as set out below, in respect of the accompanying Interim Financial Reporting of the Jointly Owned Property (“JOP”) for the six-month period ended 30 June 2026. The Interim Financial Reporting has been prepared by </t>
    </r>
    <r>
      <rPr>
        <sz val="11"/>
        <color rgb="FFFF0000"/>
        <rFont val="Calibri"/>
        <family val="2"/>
        <scheme val="minor"/>
      </rPr>
      <t>xxxxxxxxxxxxx</t>
    </r>
    <r>
      <rPr>
        <sz val="11"/>
        <color theme="1"/>
        <rFont val="Calibri"/>
        <family val="2"/>
        <scheme val="minor"/>
      </rPr>
      <t xml:space="preserve"> Managements (the “Management Company”) in accordance with the requirements of the Circular issued by RERA.</t>
    </r>
  </si>
  <si>
    <t>Transactions with the Management company</t>
  </si>
  <si>
    <t>Transactions with and balances owed to management company</t>
  </si>
  <si>
    <t xml:space="preserve">The procedures we performed as described by RERA in the circular No.2 of 2026 are summarized as follows: </t>
  </si>
  <si>
    <t>JOP name, components, units, developer and management company details</t>
  </si>
  <si>
    <t>Revenue and expenses for 6 months ended 30 June 2026</t>
  </si>
  <si>
    <t>Assets, liabilities, and fund balances as at 30 June 2026</t>
  </si>
  <si>
    <t>Other income receivable, billed and collected during the period</t>
  </si>
  <si>
    <t>Comparison of approved budget with actual expenses for the 6-month period</t>
  </si>
  <si>
    <t>Details of any changes in service providers during the period</t>
  </si>
  <si>
    <t>Details of tender procedures and expenses for community improvement projects</t>
  </si>
  <si>
    <t>Reserve fund allocation, expenses, and compliance with RERA circular</t>
  </si>
  <si>
    <t>Contingency items and unbudgeted maintenance expenses incurred</t>
  </si>
  <si>
    <t>Reconciliation of regulated and non-regulated bank accounts</t>
  </si>
  <si>
    <t>Reconciliation and aging of service charge receivables from units</t>
  </si>
  <si>
    <t>Reconciliation of supplier payables and outstanding balances</t>
  </si>
  <si>
    <t>Current and prior-period accruals and their status</t>
  </si>
  <si>
    <t>Related-party transactions and balances verification</t>
  </si>
  <si>
    <r>
      <t xml:space="preserve">SEMI ANNUAL AGREED UPON PROCEDURE REPORT OF </t>
    </r>
    <r>
      <rPr>
        <b/>
        <sz val="11"/>
        <color rgb="FFFF0000"/>
        <rFont val="Calibri"/>
        <family val="2"/>
        <scheme val="minor"/>
      </rPr>
      <t xml:space="preserve">PARK VILLE 07 </t>
    </r>
  </si>
  <si>
    <r>
      <t xml:space="preserve">Agreed upon Procedures Report on the interim financial statements and supplementary information of Jointly Owned Properties (JOP) and Owners Associations (OA) of </t>
    </r>
    <r>
      <rPr>
        <b/>
        <sz val="11"/>
        <color rgb="FFFF0000"/>
        <rFont val="Calibri"/>
        <family val="2"/>
        <scheme val="minor"/>
      </rPr>
      <t>PARK VILLE 07</t>
    </r>
    <r>
      <rPr>
        <b/>
        <sz val="11"/>
        <color theme="1"/>
        <rFont val="Calibri"/>
        <family val="2"/>
        <scheme val="minor"/>
      </rPr>
      <t xml:space="preserve"> Jointly Owned Property (JOP) for the 6 months period ended 30 June 2026.</t>
    </r>
  </si>
  <si>
    <t>o   Name of the JOP.</t>
  </si>
  <si>
    <t>o    Components and number of units.</t>
  </si>
  <si>
    <t>o    Developer name, address, trade license number and expiry of trade license.</t>
  </si>
  <si>
    <t>o    Location of JOP.</t>
  </si>
  <si>
    <t>o    The name of the management company, trade license number and expiry of trade license.</t>
  </si>
  <si>
    <t>o    Non- availability of above documents for the verification.</t>
  </si>
  <si>
    <t xml:space="preserve">2. Statement of Income and expenditure </t>
  </si>
  <si>
    <r>
      <t xml:space="preserve">Agreed upon Procedures Report on the interim financial statements and supplementary information of Jointly Owned Properties (JOP) and Owners Associations (OA) of </t>
    </r>
    <r>
      <rPr>
        <b/>
        <sz val="11"/>
        <color rgb="FFFF0000"/>
        <rFont val="Calibri"/>
        <family val="2"/>
        <scheme val="minor"/>
      </rPr>
      <t>PARK VILLE 07</t>
    </r>
    <r>
      <rPr>
        <b/>
        <sz val="11"/>
        <color theme="1"/>
        <rFont val="Calibri"/>
        <family val="2"/>
        <scheme val="minor"/>
      </rPr>
      <t xml:space="preserve"> Jointly Owned Property (JOP) for the 6 months period ended 30 June 2026. (continued)</t>
    </r>
  </si>
  <si>
    <t>All 15 annexures have been comprehensively reviewed in accordance with RERA Circular No. 2 of 2026. The interim financial statements and supplementary information of PARK VILLE 07 JOP for the 6 months ended 30 June 2026 have been prepared in accordance with applicable accounting standards and RERA requirements.</t>
  </si>
  <si>
    <t>Summary Of Findings</t>
  </si>
  <si>
    <t>Compliance Statement</t>
  </si>
  <si>
    <t>Procedures performed in accordance with ISRS 4400 and applicable RERA guidelines. Management company provided all necessary information and documents. Except the above findings reported without limitation or qualification.</t>
  </si>
  <si>
    <t xml:space="preserve">  II.            Statement of Income and expenditure </t>
  </si>
  <si>
    <t xml:space="preserve">    I.            Project details</t>
  </si>
  <si>
    <t xml:space="preserve"> III.            Statement of financial position</t>
  </si>
  <si>
    <t xml:space="preserve">  IV.            Statement of other income</t>
  </si>
  <si>
    <t xml:space="preserve">   V.            Budget vs. actual</t>
  </si>
  <si>
    <t xml:space="preserve">  VI.            Changes in suppliers</t>
  </si>
  <si>
    <t xml:space="preserve"> VII.            Community improvement</t>
  </si>
  <si>
    <t>VIII.            Reserve fund expenses</t>
  </si>
  <si>
    <t xml:space="preserve">  IX.            Unplanned maintenance</t>
  </si>
  <si>
    <t xml:space="preserve">   X.            Bank balance</t>
  </si>
  <si>
    <t xml:space="preserve">  XI.           Service charge receivable</t>
  </si>
  <si>
    <t xml:space="preserve"> XII.            Supplies' balances</t>
  </si>
  <si>
    <t>XIII.           List of accruals</t>
  </si>
  <si>
    <t xml:space="preserve"> XIV.           Transactions with the developer or affiliated entities of the developer</t>
  </si>
  <si>
    <t xml:space="preserve">  XV.           Transactions with the Management company</t>
  </si>
  <si>
    <t>Introduction</t>
  </si>
  <si>
    <t>Annexure and Description</t>
  </si>
  <si>
    <t>Annexure 1</t>
  </si>
  <si>
    <t>Annexure 2</t>
  </si>
  <si>
    <t>Annexure 3</t>
  </si>
  <si>
    <t>Annexure 4</t>
  </si>
  <si>
    <t>Annexure 5</t>
  </si>
  <si>
    <t>Annexure 6</t>
  </si>
  <si>
    <t>Annexure 7</t>
  </si>
  <si>
    <t>Annexure 8</t>
  </si>
  <si>
    <t>Annexure 9</t>
  </si>
  <si>
    <t>Annexure 10</t>
  </si>
  <si>
    <t>Annexure 11</t>
  </si>
  <si>
    <t>Annexure 12</t>
  </si>
  <si>
    <t>Annexure 13</t>
  </si>
  <si>
    <t>Annexure 14</t>
  </si>
  <si>
    <t>Annexure 15</t>
  </si>
  <si>
    <t>Key Findings</t>
  </si>
  <si>
    <t>Auditor Certification</t>
  </si>
  <si>
    <r>
      <t>We certify that the agreed-upon procedures as prescribed by RERA Circular No. 2 of 2026 have been performed on the interim financial statements and supplementary information o</t>
    </r>
    <r>
      <rPr>
        <sz val="11"/>
        <color rgb="FFFF0000"/>
        <rFont val="Calibri"/>
        <family val="2"/>
        <scheme val="minor"/>
      </rPr>
      <t>f PARK VILLE 07</t>
    </r>
    <r>
      <rPr>
        <sz val="11"/>
        <color theme="1"/>
        <rFont val="Calibri"/>
        <family val="2"/>
        <scheme val="minor"/>
      </rPr>
      <t xml:space="preserve"> Jointly Owned Property for the 6 months ended 30 June 2026. All findings have been documented, and the financial statements have been prepared in accordance with applicable accounting standards and RERA requirements.</t>
    </r>
  </si>
  <si>
    <t>o    Revenue for the 6 months as recognized as per approved budget or actual general fund expense. If budget is not approved, reserve fund will be based on reserve fund study.</t>
  </si>
  <si>
    <t>o    Expenses are recognized for 6 months based on AMCs, supplier invoices,</t>
  </si>
  <si>
    <t>o    Opening general fund and reserve fund amounts.</t>
  </si>
  <si>
    <t>o    Whether revenue and expenses are appropriately recognized for the period</t>
  </si>
  <si>
    <t>o    Non-compliance with accounting standards.</t>
  </si>
  <si>
    <t>3. statement of financial position</t>
  </si>
  <si>
    <t>o    List of assets as of the reporting date.</t>
  </si>
  <si>
    <t>o    List of liabilities as of the reporting dates.</t>
  </si>
  <si>
    <t>o    Fund balances.</t>
  </si>
  <si>
    <t>o    Assets and liabilities should be recognized as per applicable accounting standards.</t>
  </si>
  <si>
    <t>o   Violation of JOP Law.</t>
  </si>
  <si>
    <t>o    Other income receivable as at the beginning of the period and amount collected against opening balance.</t>
  </si>
  <si>
    <t>o    List of other income billed and collected.</t>
  </si>
  <si>
    <t>o    Other income closing balances.</t>
  </si>
  <si>
    <t>o    Other income should be reconciled to the statement of income and expenditure.</t>
  </si>
  <si>
    <t>o   Any exceptions to above/ material observations regarding other income.</t>
  </si>
  <si>
    <t>o  Tender details of other income – should be tendered by the management</t>
  </si>
  <si>
    <t>o   Non-compliance with accounting standards.</t>
  </si>
  <si>
    <t>4. statement of other income</t>
  </si>
  <si>
    <t>5. Budget vs. Actual</t>
  </si>
  <si>
    <t>o    Total budget should be downloaded from the Mollak.</t>
  </si>
  <si>
    <t>o    Variance between budget and actual expenses should be explained.</t>
  </si>
  <si>
    <t>o    Should mention whether expenses are recognized for 6 months based on AMCs, invoices and JOP’s budget.</t>
  </si>
  <si>
    <t>o    Observation on utility costs</t>
  </si>
  <si>
    <t>o    Observation on Master Community service charges</t>
  </si>
  <si>
    <t xml:space="preserve">o    Observation on insurance
</t>
  </si>
  <si>
    <t>6. Changes in suppliers</t>
  </si>
  <si>
    <t>o    Auditors’ observation on the changes in the suppliers.</t>
  </si>
  <si>
    <t>o    o	Both suppliers as per service charge budget and actual deployment should be mentioned irrespective of whether there was a change or not during the period.</t>
  </si>
  <si>
    <t>7. Community improvement</t>
  </si>
  <si>
    <t>o    Auditors’ observation on tender procedures.</t>
  </si>
  <si>
    <t>o    Availability of proper supporting documents.</t>
  </si>
  <si>
    <t>o    Whether a related party is involved for community improvements.</t>
  </si>
  <si>
    <t>o   Whether the budget is exceeded.</t>
  </si>
  <si>
    <t>o   Wrong classification of reserve fund or unplanned maintenance.</t>
  </si>
  <si>
    <t>8. Reserve fund expenses</t>
  </si>
  <si>
    <t>o    RERA circular for reserve fund is followed.</t>
  </si>
  <si>
    <t>o    Whether a related party is engaged for reserve fund expenses.</t>
  </si>
  <si>
    <t>o    Proper supporting documents available.</t>
  </si>
  <si>
    <t>o   Proper tender procedures were followed.</t>
  </si>
  <si>
    <t>o   o	Any wrong classification of general repairs or community improvements in reserve fund expenses.</t>
  </si>
  <si>
    <t>Unplanned maintenance includes contingency items, minor equipment repairs, some variable expenses and it’s incurred as and when it is required.</t>
  </si>
  <si>
    <t>o    Tender procedures are followed for material items.</t>
  </si>
  <si>
    <t>o    Whether these expenses are over-spent of under-spent.</t>
  </si>
  <si>
    <t>o    Services or other items not budgeted but included under unplanned maintenance.</t>
  </si>
  <si>
    <t>9. Unplanned maintenance</t>
  </si>
  <si>
    <t>10. Bank balances</t>
  </si>
  <si>
    <t>o    Whether the banks are reconciled and signed off by the authorized person in the Mollak.</t>
  </si>
  <si>
    <t>o    Whether the bank reconciliation statements include items pertaining to more than 6 months in the month of June.</t>
  </si>
  <si>
    <t>o    Whether the reserve fund bank account has enough funds to cover the accumulated reserve fund. If not, reasons are provided by the management.</t>
  </si>
  <si>
    <t>o    Bank reconciliation is prepared for non-regulated bank account.</t>
  </si>
  <si>
    <t>o    Whether the service charge is collected in non-regulated bank account such as current account, credit card bank account or developer’s bank account</t>
  </si>
  <si>
    <t>o   Owners are levied service charge as per approved budget.</t>
  </si>
  <si>
    <t>o   If not billed, whether the service charge is accrued.</t>
  </si>
  <si>
    <t>o    Whether it is reconciled with Mollak system.</t>
  </si>
  <si>
    <t>o    Whether in-unit chilled water recovery is done by 3rd party or included as additional item.</t>
  </si>
  <si>
    <t>o   Whether 3rd party billing is reconciled.</t>
  </si>
  <si>
    <t>o    Whether service charge receivable aging is prepared, and credit risk assessment is done,</t>
  </si>
  <si>
    <t>o    Whether RDC cases were initiated within first 6 months.</t>
  </si>
  <si>
    <t>o   Whether the service charge receivable is reconciled from the last year audited fs</t>
  </si>
  <si>
    <t>11. The service charge receivable</t>
  </si>
  <si>
    <t>12. Suppliers’ balances</t>
  </si>
  <si>
    <t>o    Whether the suppliers’ balances are reconciled with suppliers’ SOA.</t>
  </si>
  <si>
    <t>o    If no SOA balances, reasons why suppliers SOAs were not obtained or replied.</t>
  </si>
  <si>
    <t>o    Any weakness in internal controls in reconciling suppliers’ balances.</t>
  </si>
  <si>
    <t>o    Whether suppliers balance aging report is provided and if available, why suppliers balances are not settled for more than 365 days.</t>
  </si>
  <si>
    <t>13. List of accruals</t>
  </si>
  <si>
    <t>o    o	Whether accrual is done properly for the current period.</t>
  </si>
  <si>
    <t>o    Total of accruals more than 1 year.</t>
  </si>
  <si>
    <t>o    Any reasons why old accruals are not closed in the books.</t>
  </si>
  <si>
    <t>14. Transactions with the developer or affiliated entities of the developer</t>
  </si>
  <si>
    <t>o    Nature and value of the transactions with developer or any affiliated company.</t>
  </si>
  <si>
    <t>o    Whether developer has confirmed the balances.</t>
  </si>
  <si>
    <t>o    Any violation of JOP law due to these transactions.</t>
  </si>
  <si>
    <t>o   Whether the legal action was taken against developer balance.</t>
  </si>
  <si>
    <t>o  Any provision is made for long outstanding receivable balance.</t>
  </si>
  <si>
    <t>o    Nature and value of the transactions with management company</t>
  </si>
  <si>
    <t>o  Whether management company has confirmed the balances.</t>
  </si>
  <si>
    <t>o   Whether the legal action was taken against former management company balance.</t>
  </si>
  <si>
    <t>o   Any violation of JOP law due to these transactions.</t>
  </si>
  <si>
    <t>15. Transactions with the management company</t>
  </si>
  <si>
    <t>5. Budget vs. Actual (continued)</t>
  </si>
  <si>
    <t>I.  Project details</t>
  </si>
  <si>
    <t xml:space="preserve">II. Statement of Income and expenditure </t>
  </si>
  <si>
    <t>III.  Statement of financial position</t>
  </si>
  <si>
    <t>IV. Statement of other income</t>
  </si>
  <si>
    <t>V. Budget vs. actual</t>
  </si>
  <si>
    <t>VI.  Community improvement</t>
  </si>
  <si>
    <t>VII.  Reserve fund expenses</t>
  </si>
  <si>
    <t>WORLD TRADE CENTRE RESIDENCES</t>
  </si>
  <si>
    <t>Summary of Auditor's Notes, Observations &amp; Scope Limitations — Interim Report, June 30, 2026</t>
  </si>
  <si>
    <t>Click 'Go to note' to jump to the annexure cell containing the full note.</t>
  </si>
  <si>
    <t>No.</t>
  </si>
  <si>
    <t>Annexure</t>
  </si>
  <si>
    <t>Cell ref.</t>
  </si>
  <si>
    <t>Category</t>
  </si>
  <si>
    <t>Summary of note</t>
  </si>
  <si>
    <t>Go to note</t>
  </si>
  <si>
    <t>Ref.</t>
  </si>
  <si>
    <t>Requirement / Document</t>
  </si>
  <si>
    <t>Status</t>
  </si>
  <si>
    <t>Auditor's Remark</t>
  </si>
  <si>
    <t>1.2</t>
  </si>
  <si>
    <t>Not Provided</t>
  </si>
  <si>
    <t>1.5</t>
  </si>
  <si>
    <t>2.3</t>
  </si>
  <si>
    <t>2.6</t>
  </si>
  <si>
    <t>3.4</t>
  </si>
  <si>
    <t>3.5</t>
  </si>
  <si>
    <t>4.3</t>
  </si>
  <si>
    <t>5.2</t>
  </si>
  <si>
    <t>5.3</t>
  </si>
  <si>
    <t>5.6</t>
  </si>
  <si>
    <t>6.1</t>
  </si>
  <si>
    <t>6.1.1</t>
  </si>
  <si>
    <t>6.1.2</t>
  </si>
  <si>
    <t>7.2</t>
  </si>
  <si>
    <t>7.5</t>
  </si>
  <si>
    <t>8.1</t>
  </si>
  <si>
    <t>8.2</t>
  </si>
  <si>
    <t>8.3</t>
  </si>
  <si>
    <t>Summary:</t>
  </si>
  <si>
    <t>Provided</t>
  </si>
  <si>
    <t>Partially Provided</t>
  </si>
  <si>
    <t>Not Applicable</t>
  </si>
  <si>
    <t>Total requirements</t>
  </si>
  <si>
    <t>Conclusion: of the 48 PBC checklist items requested from management, 19 were fully provided, 9 were partially provided, 18 were not provided, and 2 are assessed as not applicable based on the records reviewed (without a separate written management representation confirming non-applicability for item 4.5). Because this is an agreed-upon-procedures engagement under RERA Circular No. 2 of 2026 (ISRS 4400 Revised), no assurance opinion is expressed; the procedures performed and exceptions noted are limited to those set out in this report, and are further limited by the volume of "Not Provided" and "Partially Provided" items above. RERA and the Owners' Committee should treat every such line as an open item for follow-up with the Management Company, including the discrepancies noted at items 5.2 and 5.6 above where management's own remarks describe documents as shared/attached that were not found in the folder made available to the auditor.</t>
  </si>
  <si>
    <t>Prepared by (Audit team):</t>
  </si>
  <si>
    <t>Reviewed by (Engagement Manager):</t>
  </si>
  <si>
    <t>Name / Signature: _______________________</t>
  </si>
  <si>
    <t>Date: _______________________</t>
  </si>
  <si>
    <t>This checklist status has not been separately signed off by the Management Company / Owners' Committee as at the date of this report.</t>
  </si>
  <si>
    <t>JUMEIRAH LIVING — WORLD TRADE CENTRE RESIDENCES</t>
  </si>
  <si>
    <t>Annexure 18: Document Requirements Tracker — Done vs. Pending (as at 30 June 2026 interim audit)</t>
  </si>
  <si>
    <t>Working tracker for follow-up with the Management Company. Use the Received Date / Notes columns to log progress as outstanding items (PENDING and PENDING (partial)) are provided; update the Status cell by hand once a document is received and re-filed. See Annexure 17 for the full auditor's remark on each item.</t>
  </si>
  <si>
    <t>Progress:</t>
  </si>
  <si>
    <t>19 of 46 applicable requirements DONE (41%) — 18 fully pending, 9 partially pending, 2 not applicable</t>
  </si>
  <si>
    <t>Follow-up sent?</t>
  </si>
  <si>
    <t>Received date</t>
  </si>
  <si>
    <t>SECTION 1</t>
  </si>
  <si>
    <t>ENTITY DOCUMENTATION &amp; GOVERNANCE</t>
  </si>
  <si>
    <t>1.1</t>
  </si>
  <si>
    <t>1.3</t>
  </si>
  <si>
    <t>1.4</t>
  </si>
  <si>
    <t>1.6</t>
  </si>
  <si>
    <t>1.7</t>
  </si>
  <si>
    <t>SECTION 2</t>
  </si>
  <si>
    <t>2.1</t>
  </si>
  <si>
    <t>2.2</t>
  </si>
  <si>
    <t>2.4</t>
  </si>
  <si>
    <t>2.5</t>
  </si>
  <si>
    <t>SECTION 3</t>
  </si>
  <si>
    <t>3.1</t>
  </si>
  <si>
    <t>3.2</t>
  </si>
  <si>
    <t>3.3</t>
  </si>
  <si>
    <t>SECTION 4</t>
  </si>
  <si>
    <t>4.1</t>
  </si>
  <si>
    <t>4.2</t>
  </si>
  <si>
    <t>4.4</t>
  </si>
  <si>
    <t>4.5</t>
  </si>
  <si>
    <t>SECTION 5</t>
  </si>
  <si>
    <t>5.1</t>
  </si>
  <si>
    <t>5.4</t>
  </si>
  <si>
    <t>5.5</t>
  </si>
  <si>
    <t>5.7</t>
  </si>
  <si>
    <t>5.8</t>
  </si>
  <si>
    <t>SECTION 6</t>
  </si>
  <si>
    <t>(a)-(v)</t>
  </si>
  <si>
    <t>SECTION 7</t>
  </si>
  <si>
    <t>7.1</t>
  </si>
  <si>
    <t>7.3</t>
  </si>
  <si>
    <t>7.4</t>
  </si>
  <si>
    <t>SECTION 8</t>
  </si>
  <si>
    <t>SECTION 9</t>
  </si>
  <si>
    <t>9.1</t>
  </si>
  <si>
    <t>9.2</t>
  </si>
  <si>
    <t>9.3</t>
  </si>
  <si>
    <t>9.4</t>
  </si>
  <si>
    <t>9.5</t>
  </si>
  <si>
    <t>Tracker last updated: 19 August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</si>
</sst>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_-* #,##0_-;\-* #,##0_-;_-* &quot;-&quot;??_-;_-@_-"/>
    <numFmt numFmtId="166" formatCode="dd\-mmm\-yyyy"/>
  </numFmts>
  <fonts count="46" x14ac:knownFonts="1">
    <font>
      <sz val="11"/>
      <color theme="1"/>
      <name val="Calibri"/>
      <family val="2"/>
      <scheme val="minor"/>
    </font>
    <font>
      <b/>
      <sz val="11"/>
      <color theme="1"/>
      <name val="Calibri"/>
      <family val="2"/>
      <scheme val="minor"/>
    </font>
    <font>
      <b/>
      <sz val="13"/>
      <color theme="1"/>
      <name val="Calibri"/>
      <family val="2"/>
      <scheme val="minor"/>
    </font>
    <font>
      <b/>
      <sz val="12"/>
      <color theme="1"/>
      <name val="Calibri"/>
      <family val="2"/>
      <scheme val="minor"/>
    </font>
    <font>
      <sz val="12"/>
      <color theme="1"/>
      <name val="Calibri"/>
      <family val="2"/>
      <scheme val="minor"/>
    </font>
    <font>
      <b/>
      <sz val="13"/>
      <name val="Calibri"/>
      <family val="2"/>
      <scheme val="minor"/>
    </font>
    <font>
      <sz val="11"/>
      <color theme="1"/>
      <name val="Calibri"/>
      <family val="2"/>
      <scheme val="minor"/>
    </font>
    <font>
      <b/>
      <sz val="13"/>
      <color theme="8" tint="-0.249977111117893"/>
      <name val="Calibri"/>
      <family val="2"/>
      <scheme val="minor"/>
    </font>
    <font>
      <b/>
      <sz val="13"/>
      <color theme="4" tint="-0.499984740745262"/>
      <name val="Calibri"/>
      <family val="2"/>
      <scheme val="minor"/>
    </font>
    <font>
      <i/>
      <sz val="11"/>
      <color theme="1"/>
      <name val="Calibri"/>
      <family val="2"/>
      <scheme val="minor"/>
    </font>
    <font>
      <sz val="9"/>
      <color theme="1"/>
      <name val="Arial"/>
      <family val="2"/>
    </font>
    <font>
      <b/>
      <sz val="9"/>
      <color theme="1"/>
      <name val="Arial"/>
      <family val="2"/>
    </font>
    <font>
      <sz val="11"/>
      <name val="Calibri"/>
      <family val="2"/>
      <scheme val="minor"/>
    </font>
    <font>
      <b/>
      <sz val="11"/>
      <name val="Calibri"/>
      <family val="2"/>
      <scheme val="minor"/>
    </font>
    <font>
      <sz val="11"/>
      <color rgb="FFFF0000"/>
      <name val="Calibri"/>
      <family val="2"/>
      <scheme val="minor"/>
    </font>
    <font>
      <b/>
      <sz val="10"/>
      <color theme="1"/>
      <name val="Calibri"/>
      <family val="2"/>
      <scheme val="minor"/>
    </font>
    <font>
      <b/>
      <sz val="12"/>
      <color theme="8" tint="-0.249977111117893"/>
      <name val="Calibri"/>
      <family val="2"/>
      <scheme val="minor"/>
    </font>
    <font>
      <b/>
      <sz val="12"/>
      <name val="Calibri"/>
      <family val="2"/>
      <scheme val="minor"/>
    </font>
    <font>
      <sz val="11"/>
      <color rgb="FF000000"/>
      <name val="Calibri"/>
      <family val="2"/>
      <scheme val="minor"/>
    </font>
    <font>
      <b/>
      <sz val="11"/>
      <color rgb="FF00B050"/>
      <name val="Calibri"/>
      <family val="2"/>
      <scheme val="minor"/>
    </font>
    <font>
      <b/>
      <sz val="11"/>
      <color rgb="FF000000"/>
      <name val="Calibri"/>
      <family val="2"/>
      <scheme val="minor"/>
    </font>
    <font>
      <sz val="11"/>
      <name val="Calibri"/>
      <family val="2"/>
    </font>
    <font>
      <b/>
      <sz val="11"/>
      <name val="Calibri"/>
      <family val="2"/>
    </font>
    <font>
      <sz val="10"/>
      <name val="Arial"/>
      <family val="2"/>
    </font>
    <font>
      <b/>
      <u/>
      <sz val="11"/>
      <name val="Calibri"/>
      <family val="2"/>
      <scheme val="minor"/>
    </font>
    <font>
      <b/>
      <u/>
      <sz val="11"/>
      <color theme="1"/>
      <name val="Calibri"/>
      <family val="2"/>
      <scheme val="minor"/>
    </font>
    <font>
      <u/>
      <sz val="11"/>
      <color theme="1"/>
      <name val="Calibri"/>
      <family val="2"/>
      <scheme val="minor"/>
    </font>
    <font>
      <b/>
      <u/>
      <sz val="12"/>
      <color theme="1"/>
      <name val="Calibri"/>
      <family val="2"/>
      <scheme val="minor"/>
    </font>
    <font>
      <b/>
      <sz val="11"/>
      <color rgb="FFFF0000"/>
      <name val="Calibri"/>
      <family val="2"/>
      <scheme val="minor"/>
    </font>
    <font>
      <sz val="11"/>
      <color theme="1"/>
      <name val="Cambria"/>
      <family val="1"/>
    </font>
    <font>
      <sz val="10"/>
      <color theme="1"/>
      <name val="Courier New"/>
      <family val="3"/>
    </font>
    <font>
      <b/>
      <sz val="14"/>
      <color rgb="FF1F3864"/>
      <name val="Calibri"/>
    </font>
    <font>
      <i/>
      <sz val="10"/>
      <color rgb="FF595959"/>
      <name val="Calibri"/>
    </font>
    <font>
      <b/>
      <sz val="11"/>
      <color rgb="FFFFFFFF"/>
      <name val="Calibri"/>
    </font>
    <font>
      <sz val="10"/>
      <name val="Calibri"/>
    </font>
    <font>
      <u/>
      <sz val="10"/>
      <color rgb="FF0563C1"/>
      <name val="Calibri"/>
    </font>
    <font>
      <b/>
      <sz val="11"/>
      <color rgb="FFFFFFFF"/>
      <name val="Calibri"/>
      <family val="2"/>
    </font>
    <font>
      <sz val="10"/>
      <name val="Calibri"/>
      <family val="2"/>
    </font>
    <font>
      <b/>
      <sz val="10"/>
      <color rgb="FF9C0006"/>
      <name val="Calibri"/>
      <family val="2"/>
    </font>
    <font>
      <sz val="10"/>
      <color rgb="FFFF0000"/>
      <name val="Calibri"/>
      <family val="2"/>
    </font>
    <font>
      <sz val="12"/>
      <color theme="1"/>
      <name val="Calibri"/>
      <family val="2"/>
      <charset val="1"/>
    </font>
    <font>
      <i/>
      <sz val="10"/>
      <color rgb="FF595959"/>
      <name val="Calibri"/>
      <family val="2"/>
    </font>
    <font>
      <b/>
      <sz val="14"/>
      <color rgb="FF1F3864"/>
      <name val="Calibri"/>
      <family val="2"/>
    </font>
    <font>
      <b/>
      <sz val="10"/>
      <color rgb="FF006100"/>
      <name val="Calibri"/>
      <family val="2"/>
    </font>
    <font>
      <b/>
      <sz val="10"/>
      <color rgb="FF9C6500"/>
      <name val="Calibri"/>
      <family val="2"/>
    </font>
    <font>
      <b/>
      <sz val="10"/>
      <color rgb="FF404040"/>
      <name val="Calibri"/>
      <family val="2"/>
    </font>
  </fonts>
  <fills count="14">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1F3864"/>
      </patternFill>
    </fill>
    <fill>
      <patternFill patternType="solid">
        <fgColor rgb="FFDCE6F1"/>
      </patternFill>
    </fill>
    <fill>
      <patternFill patternType="solid">
        <fgColor rgb="FFC6EFCE"/>
      </patternFill>
    </fill>
    <fill>
      <patternFill patternType="solid">
        <fgColor rgb="FFFFC7CE"/>
      </patternFill>
    </fill>
    <fill>
      <patternFill patternType="solid">
        <fgColor rgb="FFFFEB9C"/>
      </patternFill>
    </fill>
    <fill>
      <patternFill patternType="solid">
        <fgColor rgb="FFD9D9D9"/>
      </patternFill>
    </fill>
    <fill>
      <patternFill patternType="solid">
        <fgColor rgb="FF70AD47"/>
      </patternFill>
    </fill>
    <fill>
      <patternFill patternType="solid">
        <fgColor rgb="FF4472C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3">
    <xf numFmtId="0" fontId="0" fillId="0" borderId="0"/>
    <xf numFmtId="164" fontId="6" fillId="0" borderId="0" applyFont="0" applyFill="0" applyBorder="0" applyAlignment="0" applyProtection="0"/>
    <xf numFmtId="0" fontId="23" fillId="0" borderId="0"/>
  </cellStyleXfs>
  <cellXfs count="370">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wrapText="1"/>
    </xf>
    <xf numFmtId="0" fontId="1" fillId="0" borderId="0" xfId="0" applyFont="1" applyAlignment="1">
      <alignment horizontal="left" vertical="top"/>
    </xf>
    <xf numFmtId="0" fontId="0" fillId="0" borderId="0" xfId="0" applyAlignment="1">
      <alignment horizontal="center"/>
    </xf>
    <xf numFmtId="0" fontId="2" fillId="0" borderId="0" xfId="0" applyFont="1"/>
    <xf numFmtId="0" fontId="1" fillId="0" borderId="1" xfId="0" applyFont="1" applyBorder="1" applyAlignment="1">
      <alignment horizontal="left" vertical="top"/>
    </xf>
    <xf numFmtId="0" fontId="0" fillId="0" borderId="0" xfId="0" applyAlignment="1">
      <alignment vertical="top"/>
    </xf>
    <xf numFmtId="0" fontId="1" fillId="0" borderId="1" xfId="0" applyFont="1" applyBorder="1" applyAlignment="1">
      <alignment horizontal="left" vertical="top" wrapText="1"/>
    </xf>
    <xf numFmtId="0" fontId="0" fillId="0" borderId="5" xfId="0" applyBorder="1"/>
    <xf numFmtId="0" fontId="4" fillId="0" borderId="0" xfId="0" applyFont="1"/>
    <xf numFmtId="0" fontId="3" fillId="0" borderId="0" xfId="0" applyFont="1" applyAlignment="1">
      <alignment vertical="top"/>
    </xf>
    <xf numFmtId="0" fontId="4" fillId="0" borderId="0" xfId="0" applyFont="1" applyAlignment="1">
      <alignment vertical="top"/>
    </xf>
    <xf numFmtId="0" fontId="0" fillId="0" borderId="9" xfId="0" applyBorder="1"/>
    <xf numFmtId="0" fontId="5" fillId="2" borderId="0" xfId="0" applyFont="1" applyFill="1"/>
    <xf numFmtId="0" fontId="0" fillId="0" borderId="0" xfId="0" applyAlignment="1">
      <alignment horizontal="center" wrapText="1"/>
    </xf>
    <xf numFmtId="0" fontId="0" fillId="0" borderId="0" xfId="0" applyAlignment="1">
      <alignment wrapText="1"/>
    </xf>
    <xf numFmtId="0" fontId="0" fillId="0" borderId="0" xfId="0" applyAlignment="1">
      <alignment horizontal="center" vertical="top" wrapText="1"/>
    </xf>
    <xf numFmtId="0" fontId="1" fillId="0" borderId="7" xfId="0" applyFont="1" applyBorder="1" applyAlignment="1">
      <alignment horizontal="center"/>
    </xf>
    <xf numFmtId="15" fontId="1" fillId="0" borderId="8" xfId="0" applyNumberFormat="1" applyFont="1" applyBorder="1" applyAlignment="1">
      <alignment horizontal="center" wrapText="1"/>
    </xf>
    <xf numFmtId="15" fontId="1" fillId="0" borderId="8" xfId="0" applyNumberFormat="1" applyFont="1" applyBorder="1" applyAlignment="1">
      <alignment horizontal="center" vertical="top" wrapText="1"/>
    </xf>
    <xf numFmtId="0" fontId="1" fillId="0" borderId="10" xfId="0" applyFont="1" applyBorder="1"/>
    <xf numFmtId="0" fontId="0" fillId="0" borderId="1" xfId="0" applyBorder="1"/>
    <xf numFmtId="0" fontId="0" fillId="0" borderId="11" xfId="0" applyBorder="1"/>
    <xf numFmtId="0" fontId="0" fillId="0" borderId="12" xfId="0" applyBorder="1"/>
    <xf numFmtId="0" fontId="0" fillId="0" borderId="6" xfId="0" applyBorder="1"/>
    <xf numFmtId="0" fontId="0" fillId="0" borderId="13" xfId="0" applyBorder="1"/>
    <xf numFmtId="0" fontId="0" fillId="0" borderId="14" xfId="0" applyBorder="1"/>
    <xf numFmtId="0" fontId="0" fillId="0" borderId="15" xfId="0" applyBorder="1"/>
    <xf numFmtId="0" fontId="1" fillId="0" borderId="0" xfId="0" applyFont="1" applyAlignment="1">
      <alignment vertical="top"/>
    </xf>
    <xf numFmtId="0" fontId="0" fillId="0" borderId="5" xfId="0" applyBorder="1" applyAlignment="1">
      <alignment vertical="top"/>
    </xf>
    <xf numFmtId="0" fontId="1" fillId="0" borderId="0" xfId="0" applyFont="1" applyAlignment="1">
      <alignment horizontal="center"/>
    </xf>
    <xf numFmtId="0" fontId="0" fillId="0" borderId="1" xfId="0" applyBorder="1" applyAlignment="1">
      <alignment vertical="top"/>
    </xf>
    <xf numFmtId="0" fontId="1" fillId="0" borderId="1" xfId="0" applyFont="1" applyBorder="1" applyAlignment="1">
      <alignment vertical="top"/>
    </xf>
    <xf numFmtId="0" fontId="0" fillId="0" borderId="11" xfId="0" applyBorder="1" applyAlignment="1">
      <alignment vertical="top"/>
    </xf>
    <xf numFmtId="0" fontId="0" fillId="0" borderId="9" xfId="0" applyBorder="1" applyAlignment="1">
      <alignment vertical="top"/>
    </xf>
    <xf numFmtId="0" fontId="0" fillId="0" borderId="12" xfId="0" applyBorder="1" applyAlignment="1">
      <alignment vertical="top"/>
    </xf>
    <xf numFmtId="0" fontId="0" fillId="0" borderId="6" xfId="0" applyBorder="1" applyAlignment="1">
      <alignment vertical="top"/>
    </xf>
    <xf numFmtId="0" fontId="0" fillId="0" borderId="13" xfId="0" applyBorder="1" applyAlignment="1">
      <alignment vertical="top"/>
    </xf>
    <xf numFmtId="0" fontId="1" fillId="0" borderId="13" xfId="0" applyFont="1" applyBorder="1" applyAlignment="1">
      <alignment vertical="top"/>
    </xf>
    <xf numFmtId="0" fontId="0" fillId="0" borderId="14" xfId="0" applyBorder="1" applyAlignment="1">
      <alignment vertical="top"/>
    </xf>
    <xf numFmtId="0" fontId="0" fillId="0" borderId="15" xfId="0" applyBorder="1" applyAlignment="1">
      <alignment vertical="top"/>
    </xf>
    <xf numFmtId="0" fontId="1" fillId="0" borderId="0" xfId="0" applyFont="1" applyAlignment="1">
      <alignment horizontal="left" vertical="top" wrapText="1"/>
    </xf>
    <xf numFmtId="0" fontId="1" fillId="0" borderId="7" xfId="0" applyFont="1" applyBorder="1" applyAlignment="1">
      <alignment horizontal="left" vertical="top"/>
    </xf>
    <xf numFmtId="0" fontId="0" fillId="0" borderId="8" xfId="0" applyBorder="1" applyAlignment="1">
      <alignment vertical="top"/>
    </xf>
    <xf numFmtId="0" fontId="1" fillId="0" borderId="7" xfId="0" applyFont="1" applyBorder="1" applyAlignment="1">
      <alignment horizontal="center" vertical="top"/>
    </xf>
    <xf numFmtId="0" fontId="1" fillId="0" borderId="8" xfId="0" applyFont="1" applyBorder="1" applyAlignment="1">
      <alignment horizontal="center" vertical="top"/>
    </xf>
    <xf numFmtId="0" fontId="1" fillId="0" borderId="1" xfId="0" applyFont="1" applyBorder="1"/>
    <xf numFmtId="0" fontId="1" fillId="0" borderId="0" xfId="0" applyFont="1" applyAlignment="1">
      <alignment horizontal="center" vertical="top" wrapText="1"/>
    </xf>
    <xf numFmtId="0" fontId="1" fillId="0" borderId="0" xfId="0" applyFont="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1" fillId="0" borderId="0" xfId="0" applyFont="1" applyAlignment="1">
      <alignment horizontal="center" wrapText="1"/>
    </xf>
    <xf numFmtId="0" fontId="0" fillId="0" borderId="2" xfId="0" applyBorder="1" applyAlignment="1">
      <alignment vertical="top"/>
    </xf>
    <xf numFmtId="0" fontId="0" fillId="0" borderId="3" xfId="0" applyBorder="1" applyAlignment="1">
      <alignment vertical="top"/>
    </xf>
    <xf numFmtId="0" fontId="0" fillId="0" borderId="4" xfId="0" applyBorder="1" applyAlignment="1">
      <alignment vertical="top"/>
    </xf>
    <xf numFmtId="0" fontId="1" fillId="0" borderId="2" xfId="0" applyFont="1" applyBorder="1" applyAlignment="1">
      <alignment vertical="top"/>
    </xf>
    <xf numFmtId="15" fontId="1" fillId="0" borderId="0" xfId="0" applyNumberFormat="1" applyFont="1" applyAlignment="1">
      <alignment horizontal="center" vertical="top"/>
    </xf>
    <xf numFmtId="15" fontId="1" fillId="0" borderId="0" xfId="0" applyNumberFormat="1" applyFont="1" applyAlignment="1">
      <alignment horizontal="center" vertical="center"/>
    </xf>
    <xf numFmtId="17" fontId="0" fillId="0" borderId="0" xfId="0" quotePrefix="1" applyNumberFormat="1" applyAlignment="1">
      <alignment horizontal="center"/>
    </xf>
    <xf numFmtId="17" fontId="0" fillId="0" borderId="0" xfId="0" quotePrefix="1" applyNumberFormat="1"/>
    <xf numFmtId="17" fontId="0" fillId="0" borderId="1" xfId="0" quotePrefix="1" applyNumberFormat="1" applyBorder="1"/>
    <xf numFmtId="0" fontId="1" fillId="0" borderId="1" xfId="0" applyFont="1" applyBorder="1" applyAlignment="1">
      <alignment horizontal="center"/>
    </xf>
    <xf numFmtId="0" fontId="3" fillId="0" borderId="0" xfId="0" applyFont="1" applyAlignment="1">
      <alignment horizontal="left" vertical="top"/>
    </xf>
    <xf numFmtId="17" fontId="1" fillId="0" borderId="0" xfId="0" quotePrefix="1" applyNumberFormat="1" applyFont="1"/>
    <xf numFmtId="17" fontId="1" fillId="0" borderId="1" xfId="0" quotePrefix="1" applyNumberFormat="1" applyFont="1" applyBorder="1" applyAlignment="1">
      <alignment vertical="center"/>
    </xf>
    <xf numFmtId="17" fontId="1" fillId="0" borderId="0" xfId="0" quotePrefix="1" applyNumberFormat="1" applyFont="1" applyAlignment="1">
      <alignment vertical="center"/>
    </xf>
    <xf numFmtId="0" fontId="0" fillId="0" borderId="7" xfId="0" applyBorder="1"/>
    <xf numFmtId="17" fontId="1" fillId="0" borderId="2" xfId="0" quotePrefix="1" applyNumberFormat="1" applyFont="1" applyBorder="1" applyAlignment="1">
      <alignment vertical="center"/>
    </xf>
    <xf numFmtId="0" fontId="0" fillId="0" borderId="0" xfId="0" applyAlignment="1">
      <alignment horizontal="center" vertical="top"/>
    </xf>
    <xf numFmtId="0" fontId="1" fillId="0" borderId="0" xfId="0" applyFont="1" applyAlignment="1">
      <alignment vertical="center"/>
    </xf>
    <xf numFmtId="17" fontId="1" fillId="0" borderId="0" xfId="0" quotePrefix="1" applyNumberFormat="1" applyFont="1" applyAlignment="1">
      <alignment horizontal="center" vertical="center"/>
    </xf>
    <xf numFmtId="17" fontId="1" fillId="0" borderId="1" xfId="0" quotePrefix="1" applyNumberFormat="1" applyFont="1" applyBorder="1" applyAlignment="1">
      <alignment vertical="top"/>
    </xf>
    <xf numFmtId="0" fontId="1" fillId="0" borderId="1" xfId="0" applyFont="1" applyBorder="1" applyAlignment="1">
      <alignment horizontal="center" vertical="top"/>
    </xf>
    <xf numFmtId="17" fontId="1" fillId="0" borderId="1" xfId="0" quotePrefix="1" applyNumberFormat="1" applyFont="1" applyBorder="1"/>
    <xf numFmtId="0" fontId="1" fillId="0" borderId="1" xfId="0" applyFont="1" applyBorder="1" applyAlignment="1">
      <alignment horizontal="center" wrapText="1"/>
    </xf>
    <xf numFmtId="17" fontId="1" fillId="0" borderId="1" xfId="0" quotePrefix="1" applyNumberFormat="1" applyFont="1" applyBorder="1" applyAlignment="1">
      <alignment horizontal="left" vertical="top"/>
    </xf>
    <xf numFmtId="164" fontId="1" fillId="0" borderId="0" xfId="1" quotePrefix="1" applyFont="1"/>
    <xf numFmtId="17" fontId="1" fillId="0" borderId="0" xfId="0" quotePrefix="1" applyNumberFormat="1" applyFont="1" applyAlignment="1">
      <alignment vertical="top"/>
    </xf>
    <xf numFmtId="17" fontId="0" fillId="0" borderId="0" xfId="0" quotePrefix="1" applyNumberFormat="1" applyAlignment="1">
      <alignment vertical="top"/>
    </xf>
    <xf numFmtId="0" fontId="3" fillId="0" borderId="0" xfId="0" quotePrefix="1" applyFont="1" applyAlignment="1">
      <alignment horizontal="left"/>
    </xf>
    <xf numFmtId="4" fontId="6" fillId="0" borderId="1" xfId="1" quotePrefix="1" applyNumberFormat="1" applyFont="1" applyBorder="1"/>
    <xf numFmtId="4" fontId="1" fillId="0" borderId="0" xfId="0" applyNumberFormat="1" applyFont="1"/>
    <xf numFmtId="0" fontId="1" fillId="0" borderId="5" xfId="0" applyFont="1" applyBorder="1"/>
    <xf numFmtId="0" fontId="0" fillId="0" borderId="0" xfId="0" applyAlignment="1">
      <alignment horizontal="right"/>
    </xf>
    <xf numFmtId="0" fontId="1" fillId="0" borderId="0" xfId="0" applyFont="1" applyAlignment="1">
      <alignment horizontal="right"/>
    </xf>
    <xf numFmtId="0" fontId="7" fillId="4" borderId="0" xfId="0" applyFont="1" applyFill="1" applyAlignment="1">
      <alignment vertical="top" wrapText="1"/>
    </xf>
    <xf numFmtId="15" fontId="1" fillId="0" borderId="1" xfId="0" applyNumberFormat="1" applyFont="1" applyBorder="1" applyAlignment="1">
      <alignment horizontal="center" vertical="top"/>
    </xf>
    <xf numFmtId="0" fontId="0" fillId="0" borderId="0" xfId="0" applyAlignment="1">
      <alignment horizontal="left"/>
    </xf>
    <xf numFmtId="0" fontId="1" fillId="0" borderId="4" xfId="0" applyFont="1" applyBorder="1" applyAlignment="1">
      <alignment vertical="top"/>
    </xf>
    <xf numFmtId="0" fontId="0" fillId="0" borderId="8" xfId="0" applyBorder="1" applyAlignment="1">
      <alignment horizontal="center" vertical="top" wrapText="1"/>
    </xf>
    <xf numFmtId="0" fontId="0" fillId="0" borderId="2" xfId="0" applyBorder="1" applyAlignment="1">
      <alignment horizontal="center" vertical="top"/>
    </xf>
    <xf numFmtId="0" fontId="0" fillId="0" borderId="4" xfId="0" applyBorder="1" applyAlignment="1">
      <alignment horizontal="center" vertical="top"/>
    </xf>
    <xf numFmtId="164" fontId="0" fillId="0" borderId="1" xfId="1" applyFont="1" applyBorder="1"/>
    <xf numFmtId="165" fontId="0" fillId="0" borderId="1" xfId="1" applyNumberFormat="1" applyFont="1" applyBorder="1"/>
    <xf numFmtId="165" fontId="0" fillId="0" borderId="0" xfId="1" applyNumberFormat="1" applyFont="1"/>
    <xf numFmtId="165" fontId="0" fillId="0" borderId="9" xfId="1" applyNumberFormat="1" applyFont="1" applyBorder="1"/>
    <xf numFmtId="165" fontId="1" fillId="0" borderId="9" xfId="1" applyNumberFormat="1" applyFont="1" applyBorder="1"/>
    <xf numFmtId="165" fontId="1" fillId="0" borderId="0" xfId="1" applyNumberFormat="1" applyFont="1"/>
    <xf numFmtId="165" fontId="1" fillId="0" borderId="10" xfId="1" applyNumberFormat="1" applyFont="1" applyBorder="1"/>
    <xf numFmtId="165" fontId="0" fillId="0" borderId="16" xfId="1" applyNumberFormat="1" applyFont="1" applyBorder="1"/>
    <xf numFmtId="164" fontId="0" fillId="0" borderId="1" xfId="1" applyFont="1" applyBorder="1" applyAlignment="1">
      <alignment vertical="top"/>
    </xf>
    <xf numFmtId="165" fontId="0" fillId="0" borderId="1" xfId="1" applyNumberFormat="1" applyFont="1" applyBorder="1" applyAlignment="1">
      <alignment vertical="top"/>
    </xf>
    <xf numFmtId="165" fontId="0" fillId="0" borderId="0" xfId="1" applyNumberFormat="1" applyFont="1" applyAlignment="1">
      <alignment vertical="top"/>
    </xf>
    <xf numFmtId="165" fontId="1" fillId="0" borderId="1" xfId="1" applyNumberFormat="1" applyFont="1" applyBorder="1" applyAlignment="1">
      <alignment vertical="top"/>
    </xf>
    <xf numFmtId="165" fontId="1" fillId="0" borderId="0" xfId="1" applyNumberFormat="1" applyFont="1" applyAlignment="1">
      <alignment vertical="top"/>
    </xf>
    <xf numFmtId="165" fontId="0" fillId="0" borderId="5" xfId="1" applyNumberFormat="1" applyFont="1" applyBorder="1" applyAlignment="1">
      <alignment vertical="top"/>
    </xf>
    <xf numFmtId="165" fontId="0" fillId="0" borderId="5" xfId="1" applyNumberFormat="1" applyFont="1" applyBorder="1"/>
    <xf numFmtId="165" fontId="1" fillId="0" borderId="0" xfId="0" applyNumberFormat="1" applyFont="1"/>
    <xf numFmtId="165" fontId="0" fillId="0" borderId="0" xfId="0" applyNumberFormat="1"/>
    <xf numFmtId="165" fontId="6" fillId="0" borderId="1" xfId="1" applyNumberFormat="1" applyFont="1" applyBorder="1" applyAlignment="1">
      <alignment vertical="top"/>
    </xf>
    <xf numFmtId="43" fontId="0" fillId="0" borderId="0" xfId="0" applyNumberFormat="1"/>
    <xf numFmtId="164" fontId="1" fillId="0" borderId="10" xfId="1" applyFont="1" applyBorder="1"/>
    <xf numFmtId="14" fontId="0" fillId="0" borderId="1" xfId="0" applyNumberFormat="1" applyBorder="1" applyAlignment="1">
      <alignment vertical="top"/>
    </xf>
    <xf numFmtId="164" fontId="11" fillId="0" borderId="0" xfId="1" applyFont="1" applyAlignment="1">
      <alignment horizontal="right" vertical="top"/>
    </xf>
    <xf numFmtId="164" fontId="10" fillId="0" borderId="0" xfId="1" applyFont="1" applyAlignment="1">
      <alignment horizontal="right" vertical="top"/>
    </xf>
    <xf numFmtId="164" fontId="0" fillId="0" borderId="0" xfId="1" applyFont="1"/>
    <xf numFmtId="164" fontId="1" fillId="0" borderId="1" xfId="1" quotePrefix="1" applyFont="1" applyBorder="1" applyAlignment="1">
      <alignment vertical="center"/>
    </xf>
    <xf numFmtId="164" fontId="1" fillId="0" borderId="0" xfId="1" quotePrefix="1" applyFont="1" applyAlignment="1">
      <alignment vertical="center"/>
    </xf>
    <xf numFmtId="165" fontId="12" fillId="0" borderId="1" xfId="1" applyNumberFormat="1" applyFont="1" applyBorder="1" applyAlignment="1">
      <alignment vertical="top"/>
    </xf>
    <xf numFmtId="165" fontId="13" fillId="0" borderId="1" xfId="1" applyNumberFormat="1" applyFont="1" applyBorder="1" applyAlignment="1">
      <alignment vertical="top"/>
    </xf>
    <xf numFmtId="165" fontId="12" fillId="0" borderId="5" xfId="1" applyNumberFormat="1" applyFont="1" applyBorder="1" applyAlignment="1">
      <alignment vertical="top"/>
    </xf>
    <xf numFmtId="165" fontId="13" fillId="0" borderId="10" xfId="1" applyNumberFormat="1" applyFont="1" applyBorder="1"/>
    <xf numFmtId="165" fontId="12" fillId="0" borderId="0" xfId="1" applyNumberFormat="1" applyFont="1"/>
    <xf numFmtId="165" fontId="12" fillId="0" borderId="1" xfId="1" applyNumberFormat="1" applyFont="1" applyBorder="1"/>
    <xf numFmtId="165" fontId="12" fillId="0" borderId="5" xfId="1" applyNumberFormat="1" applyFont="1" applyBorder="1"/>
    <xf numFmtId="165" fontId="13" fillId="0" borderId="0" xfId="1" applyNumberFormat="1" applyFont="1" applyAlignment="1">
      <alignment vertical="top"/>
    </xf>
    <xf numFmtId="165" fontId="13" fillId="0" borderId="9" xfId="1" applyNumberFormat="1" applyFont="1" applyBorder="1"/>
    <xf numFmtId="165" fontId="13" fillId="0" borderId="0" xfId="1" applyNumberFormat="1" applyFont="1"/>
    <xf numFmtId="164" fontId="0" fillId="0" borderId="1" xfId="1" applyFont="1" applyFill="1" applyBorder="1"/>
    <xf numFmtId="164" fontId="1" fillId="0" borderId="1" xfId="1" quotePrefix="1" applyFont="1" applyBorder="1"/>
    <xf numFmtId="165" fontId="0" fillId="0" borderId="0" xfId="0" applyNumberFormat="1" applyAlignment="1">
      <alignment vertical="top"/>
    </xf>
    <xf numFmtId="164" fontId="0" fillId="0" borderId="0" xfId="1" applyFont="1" applyAlignment="1">
      <alignment vertical="top"/>
    </xf>
    <xf numFmtId="164" fontId="10" fillId="0" borderId="1" xfId="1" applyFont="1" applyBorder="1" applyAlignment="1">
      <alignment horizontal="center" vertical="top"/>
    </xf>
    <xf numFmtId="164" fontId="0" fillId="0" borderId="1" xfId="1" applyFont="1" applyBorder="1" applyAlignment="1">
      <alignment horizontal="center"/>
    </xf>
    <xf numFmtId="164" fontId="1" fillId="0" borderId="1" xfId="0" quotePrefix="1" applyNumberFormat="1" applyFont="1" applyBorder="1" applyAlignment="1">
      <alignment vertical="center"/>
    </xf>
    <xf numFmtId="164" fontId="1" fillId="0" borderId="1" xfId="1" applyFont="1" applyBorder="1"/>
    <xf numFmtId="0" fontId="1" fillId="0" borderId="1" xfId="0" applyFont="1" applyBorder="1" applyAlignment="1">
      <alignment horizontal="right"/>
    </xf>
    <xf numFmtId="164" fontId="6" fillId="0" borderId="1" xfId="1" quotePrefix="1" applyFont="1" applyBorder="1"/>
    <xf numFmtId="164" fontId="0" fillId="0" borderId="0" xfId="1" applyFont="1" applyAlignment="1">
      <alignment horizontal="center"/>
    </xf>
    <xf numFmtId="164" fontId="1" fillId="0" borderId="0" xfId="1" applyFont="1" applyAlignment="1">
      <alignment horizontal="center"/>
    </xf>
    <xf numFmtId="164" fontId="1" fillId="0" borderId="1" xfId="1" applyFont="1" applyBorder="1" applyAlignment="1">
      <alignment vertical="top"/>
    </xf>
    <xf numFmtId="164" fontId="0" fillId="0" borderId="0" xfId="0" applyNumberFormat="1"/>
    <xf numFmtId="0" fontId="1" fillId="0" borderId="0" xfId="0" applyFont="1" applyAlignment="1">
      <alignment horizontal="center" vertical="top"/>
    </xf>
    <xf numFmtId="43" fontId="0" fillId="0" borderId="1" xfId="0" applyNumberFormat="1" applyBorder="1"/>
    <xf numFmtId="165" fontId="14" fillId="0" borderId="0" xfId="0" applyNumberFormat="1" applyFont="1"/>
    <xf numFmtId="0" fontId="15" fillId="0" borderId="7" xfId="0" applyFont="1" applyBorder="1" applyAlignment="1">
      <alignment horizontal="center"/>
    </xf>
    <xf numFmtId="0" fontId="15" fillId="0" borderId="0" xfId="0" applyFont="1"/>
    <xf numFmtId="0" fontId="15" fillId="0" borderId="8" xfId="0" applyFont="1" applyBorder="1" applyAlignment="1">
      <alignment horizontal="center" wrapText="1"/>
    </xf>
    <xf numFmtId="0" fontId="15" fillId="0" borderId="0" xfId="0" applyFont="1" applyAlignment="1">
      <alignment wrapText="1"/>
    </xf>
    <xf numFmtId="0" fontId="15" fillId="0" borderId="8" xfId="0" applyFont="1" applyBorder="1" applyAlignment="1">
      <alignment horizontal="center" vertical="top" wrapText="1"/>
    </xf>
    <xf numFmtId="0" fontId="0" fillId="0" borderId="0" xfId="0" applyAlignment="1">
      <alignment vertical="center"/>
    </xf>
    <xf numFmtId="0" fontId="7" fillId="4" borderId="0" xfId="0" applyFont="1" applyFill="1" applyAlignment="1">
      <alignment vertical="center" wrapText="1"/>
    </xf>
    <xf numFmtId="0" fontId="5" fillId="2" borderId="0" xfId="0" applyFont="1" applyFill="1" applyAlignment="1">
      <alignment vertical="center"/>
    </xf>
    <xf numFmtId="0" fontId="4" fillId="0" borderId="0" xfId="0" applyFont="1" applyAlignment="1">
      <alignment vertical="center"/>
    </xf>
    <xf numFmtId="0" fontId="16" fillId="4" borderId="0" xfId="0" applyFont="1" applyFill="1" applyAlignment="1">
      <alignment vertical="center" wrapText="1"/>
    </xf>
    <xf numFmtId="0" fontId="17" fillId="2" borderId="0" xfId="0" applyFont="1" applyFill="1" applyAlignment="1">
      <alignment vertical="center"/>
    </xf>
    <xf numFmtId="17" fontId="1" fillId="0" borderId="1" xfId="0" quotePrefix="1" applyNumberFormat="1" applyFont="1" applyBorder="1" applyAlignment="1">
      <alignment horizontal="center" vertical="top"/>
    </xf>
    <xf numFmtId="164" fontId="1" fillId="0" borderId="0" xfId="1" applyFont="1" applyAlignment="1">
      <alignment vertical="top"/>
    </xf>
    <xf numFmtId="0" fontId="18" fillId="0" borderId="0" xfId="0" applyFont="1" applyAlignment="1">
      <alignment vertical="center" wrapText="1"/>
    </xf>
    <xf numFmtId="0" fontId="18" fillId="0" borderId="0" xfId="0" applyFont="1" applyAlignment="1">
      <alignment vertical="center"/>
    </xf>
    <xf numFmtId="165" fontId="18" fillId="0" borderId="1" xfId="1" applyNumberFormat="1" applyFont="1" applyBorder="1" applyAlignment="1">
      <alignment vertical="center" wrapText="1"/>
    </xf>
    <xf numFmtId="0" fontId="0" fillId="0" borderId="0" xfId="0" applyFont="1"/>
    <xf numFmtId="0" fontId="0" fillId="0" borderId="0" xfId="0" applyFont="1" applyAlignment="1">
      <alignment vertical="center"/>
    </xf>
    <xf numFmtId="0" fontId="0" fillId="0" borderId="0" xfId="0" applyFont="1" applyAlignment="1">
      <alignment horizontal="justify" vertical="center"/>
    </xf>
    <xf numFmtId="0" fontId="0" fillId="0" borderId="0" xfId="0" applyFont="1" applyAlignment="1">
      <alignment horizontal="left" vertical="center" wrapText="1" indent="2"/>
    </xf>
    <xf numFmtId="0" fontId="0" fillId="0" borderId="0" xfId="0" applyFont="1" applyAlignment="1">
      <alignment horizontal="left" vertical="center" wrapText="1"/>
    </xf>
    <xf numFmtId="0" fontId="1" fillId="0" borderId="0" xfId="0" applyFont="1" applyAlignment="1">
      <alignment horizontal="justify" vertical="center"/>
    </xf>
    <xf numFmtId="0" fontId="1" fillId="0" borderId="0" xfId="0" applyFont="1" applyAlignment="1">
      <alignment horizontal="left" vertical="center" indent="5"/>
    </xf>
    <xf numFmtId="0" fontId="0" fillId="0" borderId="0" xfId="0" applyFont="1" applyAlignment="1">
      <alignment horizontal="left" vertical="center" indent="8"/>
    </xf>
    <xf numFmtId="0" fontId="0" fillId="0" borderId="0" xfId="0" applyFont="1" applyAlignment="1">
      <alignment horizontal="left" vertical="center" indent="5"/>
    </xf>
    <xf numFmtId="0" fontId="19" fillId="0" borderId="0" xfId="0" applyFont="1" applyAlignment="1">
      <alignment horizontal="left" vertical="center" indent="5"/>
    </xf>
    <xf numFmtId="0" fontId="20" fillId="0" borderId="1" xfId="0" applyFont="1" applyBorder="1" applyAlignment="1">
      <alignment vertical="center" wrapText="1"/>
    </xf>
    <xf numFmtId="0" fontId="1" fillId="0" borderId="0" xfId="0" applyFont="1" applyAlignment="1">
      <alignment vertical="center" wrapText="1"/>
    </xf>
    <xf numFmtId="0" fontId="0" fillId="0" borderId="0" xfId="0" applyFont="1" applyAlignment="1">
      <alignment vertical="center" wrapText="1"/>
    </xf>
    <xf numFmtId="0" fontId="0" fillId="0" borderId="0" xfId="0" applyFont="1" applyAlignment="1">
      <alignment horizontal="left" vertical="center"/>
    </xf>
    <xf numFmtId="0" fontId="0" fillId="0" borderId="0" xfId="0" applyFont="1" applyAlignment="1">
      <alignment horizontal="justify" vertical="top" wrapText="1"/>
    </xf>
    <xf numFmtId="0" fontId="20" fillId="0" borderId="1" xfId="0" applyFont="1" applyBorder="1" applyAlignment="1">
      <alignment horizontal="center" vertical="top" wrapText="1"/>
    </xf>
    <xf numFmtId="0" fontId="20" fillId="0" borderId="7" xfId="0" applyFont="1" applyBorder="1" applyAlignment="1">
      <alignment horizontal="center" vertical="top" wrapText="1"/>
    </xf>
    <xf numFmtId="0" fontId="0" fillId="0" borderId="0" xfId="0" applyFont="1" applyAlignment="1">
      <alignment vertical="top"/>
    </xf>
    <xf numFmtId="0" fontId="12" fillId="0" borderId="1" xfId="0" applyFont="1" applyBorder="1" applyAlignment="1">
      <alignment vertical="top" wrapText="1"/>
    </xf>
    <xf numFmtId="0" fontId="1" fillId="0" borderId="17" xfId="0" applyFont="1" applyBorder="1" applyAlignment="1">
      <alignment horizontal="left"/>
    </xf>
    <xf numFmtId="0" fontId="0" fillId="0" borderId="17" xfId="0" applyBorder="1"/>
    <xf numFmtId="0" fontId="21" fillId="0" borderId="0" xfId="0" applyFont="1" applyAlignment="1">
      <alignment vertical="center"/>
    </xf>
    <xf numFmtId="0" fontId="22" fillId="0" borderId="5" xfId="0" applyFont="1" applyBorder="1" applyAlignment="1">
      <alignment horizontal="left" vertical="center" readingOrder="1"/>
    </xf>
    <xf numFmtId="0" fontId="21" fillId="0" borderId="5" xfId="0" applyFont="1" applyBorder="1" applyAlignment="1">
      <alignment vertical="center"/>
    </xf>
    <xf numFmtId="0" fontId="22" fillId="0" borderId="5" xfId="0" applyFont="1" applyBorder="1" applyAlignment="1">
      <alignment horizontal="center" vertical="center" readingOrder="1"/>
    </xf>
    <xf numFmtId="0" fontId="21" fillId="0" borderId="0" xfId="0" applyFont="1"/>
    <xf numFmtId="0" fontId="0" fillId="0" borderId="0" xfId="0" quotePrefix="1" applyAlignment="1">
      <alignment horizontal="center" vertical="center"/>
    </xf>
    <xf numFmtId="0" fontId="12" fillId="0" borderId="0" xfId="2" applyFont="1" applyAlignment="1">
      <alignment vertical="center"/>
    </xf>
    <xf numFmtId="0" fontId="24" fillId="0" borderId="0" xfId="2" applyFont="1" applyAlignment="1">
      <alignment vertical="center"/>
    </xf>
    <xf numFmtId="0" fontId="0" fillId="0" borderId="0" xfId="0" applyFont="1" applyAlignment="1">
      <alignment horizontal="center" vertical="center" wrapText="1"/>
    </xf>
    <xf numFmtId="0" fontId="0" fillId="0" borderId="0" xfId="0" quotePrefix="1" applyFont="1" applyAlignment="1">
      <alignment horizontal="center" vertical="center" wrapText="1"/>
    </xf>
    <xf numFmtId="0" fontId="0" fillId="0" borderId="0" xfId="0" applyFont="1" applyAlignment="1">
      <alignment horizontal="justify" vertical="top" wrapText="1"/>
    </xf>
    <xf numFmtId="0" fontId="0" fillId="0" borderId="0" xfId="0" applyFont="1" applyAlignment="1">
      <alignment horizontal="left" vertical="center" wrapText="1"/>
    </xf>
    <xf numFmtId="0" fontId="28" fillId="0" borderId="0" xfId="0" applyFont="1" applyAlignment="1">
      <alignment vertical="center"/>
    </xf>
    <xf numFmtId="0" fontId="29" fillId="0" borderId="0" xfId="0" applyFont="1"/>
    <xf numFmtId="0" fontId="13" fillId="0" borderId="0" xfId="0" applyFont="1" applyAlignment="1">
      <alignment vertical="center"/>
    </xf>
    <xf numFmtId="0" fontId="30" fillId="0" borderId="0" xfId="0" applyFont="1" applyAlignment="1">
      <alignment horizontal="left" vertical="center" indent="11"/>
    </xf>
    <xf numFmtId="0" fontId="0" fillId="0" borderId="0" xfId="0" applyFont="1" applyAlignment="1">
      <alignment wrapText="1"/>
    </xf>
    <xf numFmtId="0" fontId="30" fillId="0" borderId="0" xfId="0" applyFont="1" applyAlignment="1">
      <alignment horizontal="left" vertical="center" wrapText="1"/>
    </xf>
    <xf numFmtId="0" fontId="1" fillId="0" borderId="0" xfId="0" applyFont="1" applyFill="1" applyAlignment="1">
      <alignment horizontal="justify" vertical="top" wrapText="1"/>
    </xf>
    <xf numFmtId="0" fontId="0" fillId="0" borderId="0" xfId="0" applyFont="1" applyFill="1"/>
    <xf numFmtId="0" fontId="29" fillId="0" borderId="0" xfId="0" applyFont="1" applyFill="1"/>
    <xf numFmtId="0" fontId="25" fillId="0" borderId="0" xfId="0" applyFont="1" applyFill="1" applyAlignment="1">
      <alignment horizontal="left" vertical="center"/>
    </xf>
    <xf numFmtId="0" fontId="31" fillId="0" borderId="0" xfId="0" applyFont="1"/>
    <xf numFmtId="0" fontId="32" fillId="0" borderId="0" xfId="0" applyFont="1"/>
    <xf numFmtId="0" fontId="33" fillId="6" borderId="18" xfId="0" applyFont="1" applyFill="1" applyBorder="1" applyAlignment="1">
      <alignment horizontal="center" vertical="center" wrapText="1"/>
    </xf>
    <xf numFmtId="0" fontId="34" fillId="0" borderId="18" xfId="0" applyFont="1" applyBorder="1" applyAlignment="1">
      <alignment horizontal="center"/>
    </xf>
    <xf numFmtId="0" fontId="34" fillId="0" borderId="18" xfId="0" applyFont="1" applyBorder="1"/>
    <xf numFmtId="0" fontId="35" fillId="0" borderId="18" xfId="0" applyFont="1" applyBorder="1" applyAlignment="1">
      <alignment horizontal="center"/>
    </xf>
    <xf numFmtId="0" fontId="34" fillId="7" borderId="18" xfId="0" applyFont="1" applyFill="1" applyBorder="1" applyAlignment="1">
      <alignment horizontal="center"/>
    </xf>
    <xf numFmtId="0" fontId="34" fillId="7" borderId="18" xfId="0" applyFont="1" applyFill="1" applyBorder="1"/>
    <xf numFmtId="0" fontId="35" fillId="7" borderId="18" xfId="0" applyFont="1" applyFill="1" applyBorder="1" applyAlignment="1">
      <alignment horizontal="center"/>
    </xf>
    <xf numFmtId="0" fontId="27"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shrinkToFit="1"/>
    </xf>
    <xf numFmtId="0" fontId="25" fillId="0" borderId="0" xfId="0" applyFont="1" applyAlignment="1">
      <alignment horizontal="center" vertical="center"/>
    </xf>
    <xf numFmtId="0" fontId="0" fillId="0" borderId="0" xfId="0" applyFont="1" applyAlignment="1">
      <alignment horizontal="justify" vertical="top" wrapText="1"/>
    </xf>
    <xf numFmtId="0" fontId="1" fillId="5" borderId="0" xfId="0" applyFont="1" applyFill="1" applyAlignment="1">
      <alignment horizontal="justify" vertical="top" wrapText="1"/>
    </xf>
    <xf numFmtId="0" fontId="12" fillId="0" borderId="0" xfId="0" applyFont="1" applyAlignment="1">
      <alignment vertical="center" wrapText="1"/>
    </xf>
    <xf numFmtId="0" fontId="25" fillId="5" borderId="0" xfId="0" applyFont="1" applyFill="1" applyAlignment="1">
      <alignment horizontal="left" vertical="center"/>
    </xf>
    <xf numFmtId="0" fontId="0" fillId="0" borderId="0" xfId="0" applyFont="1" applyAlignment="1">
      <alignment horizontal="left" vertical="center" wrapText="1"/>
    </xf>
    <xf numFmtId="0" fontId="0" fillId="0" borderId="0" xfId="0" applyFont="1" applyAlignment="1">
      <alignment vertical="center" wrapText="1"/>
    </xf>
    <xf numFmtId="0" fontId="28" fillId="0" borderId="0" xfId="0" applyFont="1" applyAlignment="1">
      <alignment horizontal="justify" vertical="top" wrapText="1"/>
    </xf>
    <xf numFmtId="0" fontId="0" fillId="0" borderId="0" xfId="0" applyFont="1" applyAlignment="1">
      <alignment horizontal="left" vertical="center"/>
    </xf>
    <xf numFmtId="0" fontId="1" fillId="0" borderId="0" xfId="0" applyFont="1" applyBorder="1" applyAlignment="1">
      <alignment horizontal="left" vertical="center" wrapText="1" indent="5"/>
    </xf>
    <xf numFmtId="0" fontId="12" fillId="0" borderId="0" xfId="0" applyFont="1" applyBorder="1" applyAlignment="1">
      <alignment vertical="center" wrapText="1"/>
    </xf>
    <xf numFmtId="0" fontId="20" fillId="0" borderId="1" xfId="0" applyFont="1" applyBorder="1" applyAlignment="1">
      <alignment horizontal="center" vertical="top" wrapText="1"/>
    </xf>
    <xf numFmtId="0" fontId="12" fillId="0" borderId="1" xfId="0" applyFont="1" applyBorder="1" applyAlignment="1">
      <alignment horizontal="center" vertical="top" wrapText="1"/>
    </xf>
    <xf numFmtId="0" fontId="18" fillId="0" borderId="0" xfId="0" applyFont="1" applyAlignment="1">
      <alignment vertical="center" wrapText="1"/>
    </xf>
    <xf numFmtId="0" fontId="1" fillId="0" borderId="0" xfId="0" applyFont="1" applyAlignment="1">
      <alignment horizontal="left" vertical="center"/>
    </xf>
    <xf numFmtId="0" fontId="28" fillId="0" borderId="0" xfId="0" applyFont="1" applyAlignment="1">
      <alignment horizontal="justify" vertical="center" wrapText="1"/>
    </xf>
    <xf numFmtId="0" fontId="1" fillId="0" borderId="0" xfId="0" applyFont="1" applyAlignment="1">
      <alignment horizontal="left" vertical="center" wrapText="1"/>
    </xf>
    <xf numFmtId="0" fontId="1" fillId="0" borderId="0" xfId="0" applyFont="1" applyAlignment="1">
      <alignment horizontal="justify" vertical="top" wrapText="1"/>
    </xf>
    <xf numFmtId="0" fontId="1" fillId="0" borderId="0" xfId="0" applyFont="1" applyAlignment="1">
      <alignment horizontal="left" vertical="center" wrapText="1" indent="5"/>
    </xf>
    <xf numFmtId="0" fontId="20" fillId="0" borderId="1" xfId="0" applyFont="1" applyBorder="1" applyAlignment="1">
      <alignment horizontal="center" vertical="center" wrapText="1"/>
    </xf>
    <xf numFmtId="165" fontId="18" fillId="0" borderId="1" xfId="1" applyNumberFormat="1" applyFont="1" applyBorder="1" applyAlignment="1">
      <alignment horizontal="center" vertical="center" wrapText="1"/>
    </xf>
    <xf numFmtId="166" fontId="0" fillId="0" borderId="0" xfId="0" applyNumberFormat="1" applyFont="1" applyAlignment="1">
      <alignment horizontal="left" vertical="center"/>
    </xf>
    <xf numFmtId="0" fontId="0" fillId="0" borderId="0" xfId="0" applyFont="1" applyFill="1" applyAlignment="1">
      <alignment horizontal="justify" vertical="top" wrapText="1"/>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7" fillId="4" borderId="1" xfId="0" applyFont="1" applyFill="1" applyBorder="1" applyAlignment="1">
      <alignment horizontal="center" vertical="center" wrapText="1"/>
    </xf>
    <xf numFmtId="0" fontId="1" fillId="0" borderId="2" xfId="0" quotePrefix="1" applyFont="1" applyBorder="1" applyAlignment="1">
      <alignment horizontal="center" vertical="top" wrapText="1"/>
    </xf>
    <xf numFmtId="0" fontId="1" fillId="0" borderId="4" xfId="0" quotePrefix="1" applyFont="1" applyBorder="1" applyAlignment="1">
      <alignment horizontal="center" vertical="top" wrapText="1"/>
    </xf>
    <xf numFmtId="0" fontId="1" fillId="0" borderId="4" xfId="0" applyFont="1" applyBorder="1" applyAlignment="1">
      <alignment horizontal="center" vertical="top" wrapText="1"/>
    </xf>
    <xf numFmtId="0" fontId="1" fillId="0" borderId="7" xfId="0" applyFont="1" applyBorder="1" applyAlignment="1">
      <alignment horizontal="center" vertical="top" wrapText="1"/>
    </xf>
    <xf numFmtId="0" fontId="1" fillId="0" borderId="8" xfId="0" applyFont="1" applyBorder="1" applyAlignment="1">
      <alignment horizontal="center" vertical="top" wrapText="1"/>
    </xf>
    <xf numFmtId="0" fontId="1" fillId="0" borderId="7" xfId="0" applyFont="1" applyBorder="1" applyAlignment="1">
      <alignment horizontal="center" vertical="top"/>
    </xf>
    <xf numFmtId="0" fontId="1" fillId="0" borderId="8" xfId="0" applyFont="1" applyBorder="1" applyAlignment="1">
      <alignment horizontal="center" vertical="top"/>
    </xf>
    <xf numFmtId="0" fontId="1" fillId="0" borderId="7" xfId="0" quotePrefix="1" applyFont="1" applyBorder="1" applyAlignment="1">
      <alignment horizontal="center" vertical="top" wrapText="1"/>
    </xf>
    <xf numFmtId="0" fontId="1" fillId="0" borderId="11" xfId="0" applyFont="1" applyBorder="1" applyAlignment="1">
      <alignment horizontal="center" vertical="top"/>
    </xf>
    <xf numFmtId="0" fontId="1" fillId="0" borderId="12" xfId="0" applyFont="1" applyBorder="1" applyAlignment="1">
      <alignment horizontal="center" vertical="top"/>
    </xf>
    <xf numFmtId="0" fontId="1" fillId="0" borderId="6" xfId="0" applyFont="1" applyBorder="1" applyAlignment="1">
      <alignment horizontal="center" vertical="top"/>
    </xf>
    <xf numFmtId="0" fontId="1" fillId="0" borderId="13" xfId="0" applyFont="1" applyBorder="1" applyAlignment="1">
      <alignment horizontal="center" vertical="top"/>
    </xf>
    <xf numFmtId="0" fontId="0" fillId="0" borderId="2" xfId="0" applyBorder="1" applyAlignment="1">
      <alignment horizontal="center" vertical="top"/>
    </xf>
    <xf numFmtId="0" fontId="0" fillId="0" borderId="4" xfId="0" applyBorder="1" applyAlignment="1">
      <alignment horizontal="center" vertical="top"/>
    </xf>
    <xf numFmtId="0" fontId="7" fillId="4" borderId="1" xfId="0" applyFont="1" applyFill="1" applyBorder="1" applyAlignment="1">
      <alignment horizontal="center" vertical="center"/>
    </xf>
    <xf numFmtId="0" fontId="0" fillId="0" borderId="1" xfId="0" applyBorder="1" applyAlignment="1">
      <alignment horizontal="center"/>
    </xf>
    <xf numFmtId="0" fontId="1" fillId="0" borderId="14" xfId="0" applyFont="1" applyBorder="1" applyAlignment="1">
      <alignment horizontal="center" vertical="top"/>
    </xf>
    <xf numFmtId="0" fontId="1" fillId="0" borderId="15" xfId="0" applyFont="1" applyBorder="1" applyAlignment="1">
      <alignment horizontal="center" vertical="top"/>
    </xf>
    <xf numFmtId="0" fontId="0" fillId="0" borderId="2" xfId="0" applyBorder="1" applyAlignment="1">
      <alignment horizontal="left" vertical="center" wrapText="1"/>
    </xf>
    <xf numFmtId="0" fontId="0" fillId="0" borderId="4" xfId="0" applyBorder="1" applyAlignment="1">
      <alignment horizontal="left" vertical="center" wrapText="1"/>
    </xf>
    <xf numFmtId="0" fontId="1" fillId="0" borderId="2" xfId="0" applyFont="1" applyBorder="1" applyAlignment="1">
      <alignment horizontal="left" vertical="top" wrapText="1"/>
    </xf>
    <xf numFmtId="0" fontId="1" fillId="0" borderId="4" xfId="0" applyFont="1" applyBorder="1" applyAlignment="1">
      <alignment horizontal="left" vertical="top" wrapText="1"/>
    </xf>
    <xf numFmtId="0" fontId="16" fillId="4" borderId="14" xfId="0" applyFont="1" applyFill="1" applyBorder="1" applyAlignment="1">
      <alignment horizontal="center" vertical="center"/>
    </xf>
    <xf numFmtId="0" fontId="16" fillId="4" borderId="5" xfId="0" applyFont="1" applyFill="1" applyBorder="1" applyAlignment="1">
      <alignment horizontal="center" vertical="center"/>
    </xf>
    <xf numFmtId="0" fontId="16" fillId="4" borderId="1" xfId="0" applyFont="1" applyFill="1" applyBorder="1" applyAlignment="1">
      <alignment horizontal="center" vertical="center" wrapText="1"/>
    </xf>
    <xf numFmtId="17" fontId="0" fillId="0" borderId="11" xfId="0" quotePrefix="1" applyNumberFormat="1" applyBorder="1" applyAlignment="1">
      <alignment horizontal="left"/>
    </xf>
    <xf numFmtId="17" fontId="0" fillId="0" borderId="9" xfId="0" quotePrefix="1" applyNumberFormat="1" applyBorder="1" applyAlignment="1">
      <alignment horizontal="left"/>
    </xf>
    <xf numFmtId="17" fontId="0" fillId="0" borderId="12" xfId="0" quotePrefix="1" applyNumberFormat="1" applyBorder="1" applyAlignment="1">
      <alignment horizontal="left"/>
    </xf>
    <xf numFmtId="17" fontId="1" fillId="0" borderId="3" xfId="0" quotePrefix="1" applyNumberFormat="1" applyFont="1" applyBorder="1" applyAlignment="1">
      <alignment horizontal="center" vertical="center"/>
    </xf>
    <xf numFmtId="17" fontId="1" fillId="0" borderId="4" xfId="0" quotePrefix="1" applyNumberFormat="1" applyFont="1" applyBorder="1" applyAlignment="1">
      <alignment horizontal="center" vertical="center"/>
    </xf>
    <xf numFmtId="17" fontId="1" fillId="0" borderId="1" xfId="0" quotePrefix="1" applyNumberFormat="1" applyFont="1" applyBorder="1" applyAlignment="1">
      <alignment horizontal="left"/>
    </xf>
    <xf numFmtId="17" fontId="0" fillId="0" borderId="2" xfId="0" quotePrefix="1" applyNumberFormat="1" applyBorder="1" applyAlignment="1">
      <alignment horizontal="left"/>
    </xf>
    <xf numFmtId="17" fontId="0" fillId="0" borderId="3" xfId="0" quotePrefix="1" applyNumberFormat="1" applyBorder="1" applyAlignment="1">
      <alignment horizontal="left"/>
    </xf>
    <xf numFmtId="17" fontId="0" fillId="0" borderId="4" xfId="0" quotePrefix="1" applyNumberFormat="1" applyBorder="1" applyAlignment="1">
      <alignment horizontal="left"/>
    </xf>
    <xf numFmtId="17" fontId="1" fillId="0" borderId="11" xfId="0" quotePrefix="1" applyNumberFormat="1" applyFont="1" applyBorder="1" applyAlignment="1">
      <alignment horizontal="left" vertical="top"/>
    </xf>
    <xf numFmtId="17" fontId="1" fillId="0" borderId="9" xfId="0" quotePrefix="1" applyNumberFormat="1" applyFont="1" applyBorder="1" applyAlignment="1">
      <alignment horizontal="left" vertical="top"/>
    </xf>
    <xf numFmtId="17" fontId="1" fillId="0" borderId="12" xfId="0" quotePrefix="1" applyNumberFormat="1" applyFont="1" applyBorder="1" applyAlignment="1">
      <alignment horizontal="left" vertical="top"/>
    </xf>
    <xf numFmtId="17" fontId="1" fillId="0" borderId="14" xfId="0" quotePrefix="1" applyNumberFormat="1" applyFont="1" applyBorder="1" applyAlignment="1">
      <alignment horizontal="left" vertical="top"/>
    </xf>
    <xf numFmtId="17" fontId="1" fillId="0" borderId="5" xfId="0" quotePrefix="1" applyNumberFormat="1" applyFont="1" applyBorder="1" applyAlignment="1">
      <alignment horizontal="left" vertical="top"/>
    </xf>
    <xf numFmtId="17" fontId="1" fillId="0" borderId="15" xfId="0" quotePrefix="1" applyNumberFormat="1" applyFont="1" applyBorder="1" applyAlignment="1">
      <alignment horizontal="left" vertical="top"/>
    </xf>
    <xf numFmtId="17" fontId="1" fillId="0" borderId="1" xfId="0" quotePrefix="1" applyNumberFormat="1" applyFont="1" applyBorder="1" applyAlignment="1">
      <alignment horizontal="left" vertical="top"/>
    </xf>
    <xf numFmtId="17" fontId="0" fillId="0" borderId="1" xfId="0" quotePrefix="1" applyNumberFormat="1" applyBorder="1" applyAlignment="1">
      <alignment horizontal="left"/>
    </xf>
    <xf numFmtId="17" fontId="1" fillId="0" borderId="1" xfId="0" quotePrefix="1" applyNumberFormat="1" applyFont="1" applyBorder="1" applyAlignment="1">
      <alignment horizontal="left" vertical="center"/>
    </xf>
    <xf numFmtId="17" fontId="0" fillId="0" borderId="2" xfId="0" quotePrefix="1" applyNumberFormat="1" applyBorder="1" applyAlignment="1">
      <alignment horizontal="center"/>
    </xf>
    <xf numFmtId="17" fontId="0" fillId="0" borderId="3" xfId="0" quotePrefix="1" applyNumberFormat="1" applyBorder="1" applyAlignment="1">
      <alignment horizontal="center"/>
    </xf>
    <xf numFmtId="17" fontId="0" fillId="0" borderId="4" xfId="0" quotePrefix="1" applyNumberFormat="1"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7" fillId="4" borderId="2" xfId="0" applyFont="1" applyFill="1" applyBorder="1" applyAlignment="1">
      <alignment horizontal="center" vertical="top" wrapText="1"/>
    </xf>
    <xf numFmtId="0" fontId="7" fillId="4" borderId="3" xfId="0" applyFont="1" applyFill="1" applyBorder="1" applyAlignment="1">
      <alignment horizontal="center" vertical="top" wrapText="1"/>
    </xf>
    <xf numFmtId="0" fontId="7" fillId="4" borderId="4" xfId="0" applyFont="1" applyFill="1" applyBorder="1" applyAlignment="1">
      <alignment horizontal="center" vertical="top" wrapText="1"/>
    </xf>
    <xf numFmtId="0" fontId="0" fillId="0" borderId="0" xfId="0" applyAlignment="1">
      <alignment horizontal="left" vertical="top" wrapText="1"/>
    </xf>
    <xf numFmtId="0" fontId="0" fillId="0" borderId="0" xfId="0" applyAlignment="1">
      <alignment horizontal="center" vertical="top"/>
    </xf>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0" fillId="0" borderId="3" xfId="0" applyBorder="1" applyAlignment="1">
      <alignment horizontal="center"/>
    </xf>
    <xf numFmtId="0" fontId="0" fillId="0" borderId="4" xfId="0" applyBorder="1" applyAlignment="1">
      <alignment horizontal="center"/>
    </xf>
    <xf numFmtId="0" fontId="7" fillId="4" borderId="1" xfId="0" applyFont="1" applyFill="1" applyBorder="1" applyAlignment="1">
      <alignment horizontal="center" vertical="top" wrapText="1"/>
    </xf>
    <xf numFmtId="0" fontId="0" fillId="0" borderId="0" xfId="0" applyAlignment="1">
      <alignment horizontal="center"/>
    </xf>
    <xf numFmtId="17" fontId="0" fillId="0" borderId="6" xfId="0" quotePrefix="1" applyNumberFormat="1" applyBorder="1" applyAlignment="1">
      <alignment horizontal="center"/>
    </xf>
    <xf numFmtId="17" fontId="0" fillId="0" borderId="0" xfId="0" quotePrefix="1" applyNumberFormat="1" applyBorder="1" applyAlignment="1">
      <alignment horizontal="center"/>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0" fillId="0" borderId="2" xfId="0"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1" fillId="0" borderId="2" xfId="0" applyFont="1" applyBorder="1" applyAlignment="1">
      <alignment horizontal="left" vertical="top"/>
    </xf>
    <xf numFmtId="0" fontId="1" fillId="0" borderId="3" xfId="0" applyFont="1" applyBorder="1" applyAlignment="1">
      <alignment horizontal="left" vertical="top"/>
    </xf>
    <xf numFmtId="0" fontId="1" fillId="0" borderId="4" xfId="0" applyFont="1" applyBorder="1" applyAlignment="1">
      <alignment horizontal="left" vertical="top"/>
    </xf>
    <xf numFmtId="49" fontId="0" fillId="0" borderId="1" xfId="0" quotePrefix="1" applyNumberFormat="1" applyBorder="1" applyAlignment="1">
      <alignment horizontal="left"/>
    </xf>
    <xf numFmtId="17" fontId="0" fillId="0" borderId="1" xfId="0" quotePrefix="1" applyNumberFormat="1" applyBorder="1" applyAlignment="1">
      <alignment horizontal="center"/>
    </xf>
    <xf numFmtId="164" fontId="0" fillId="0" borderId="1" xfId="1" applyFont="1" applyBorder="1" applyAlignment="1">
      <alignment horizontal="center"/>
    </xf>
    <xf numFmtId="17" fontId="1" fillId="0" borderId="2" xfId="0" quotePrefix="1" applyNumberFormat="1" applyFont="1" applyBorder="1" applyAlignment="1">
      <alignment horizontal="center"/>
    </xf>
    <xf numFmtId="17" fontId="1" fillId="0" borderId="4" xfId="0" quotePrefix="1" applyNumberFormat="1" applyFont="1" applyBorder="1" applyAlignment="1">
      <alignment horizontal="center"/>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1" fillId="0" borderId="1" xfId="0" applyFont="1" applyBorder="1" applyAlignment="1">
      <alignment horizontal="center" vertical="center"/>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34" fillId="7" borderId="18" xfId="0" applyFont="1" applyFill="1" applyBorder="1" applyAlignment="1">
      <alignment vertical="top" wrapText="1"/>
    </xf>
    <xf numFmtId="0" fontId="0" fillId="0" borderId="19" xfId="0" applyBorder="1"/>
    <xf numFmtId="0" fontId="0" fillId="0" borderId="20" xfId="0" applyBorder="1"/>
    <xf numFmtId="0" fontId="34" fillId="0" borderId="18" xfId="0" applyFont="1" applyBorder="1" applyAlignment="1">
      <alignment vertical="top" wrapText="1"/>
    </xf>
    <xf numFmtId="0" fontId="33" fillId="6" borderId="18" xfId="0" applyFont="1" applyFill="1" applyBorder="1" applyAlignment="1">
      <alignment horizontal="center" vertical="center" wrapText="1"/>
    </xf>
    <xf numFmtId="0" fontId="36" fillId="6" borderId="18" xfId="0" applyFont="1" applyFill="1" applyBorder="1" applyAlignment="1">
      <alignment horizontal="center" vertical="center" wrapText="1"/>
    </xf>
    <xf numFmtId="0" fontId="37" fillId="0" borderId="18" xfId="0" applyFont="1" applyBorder="1" applyAlignment="1">
      <alignment horizontal="center" vertical="top"/>
    </xf>
    <xf numFmtId="0" fontId="37" fillId="0" borderId="18" xfId="0" applyFont="1" applyBorder="1" applyAlignment="1">
      <alignment vertical="top" wrapText="1"/>
    </xf>
    <xf numFmtId="0" fontId="38" fillId="9" borderId="18" xfId="0" applyFont="1" applyFill="1" applyBorder="1" applyAlignment="1">
      <alignment horizontal="center" vertical="top" wrapText="1"/>
    </xf>
    <xf numFmtId="0" fontId="39" fillId="0" borderId="18" xfId="0" applyFont="1" applyBorder="1" applyAlignment="1">
      <alignment vertical="top" wrapText="1"/>
    </xf>
    <xf numFmtId="0" fontId="37" fillId="5" borderId="18" xfId="0" applyFont="1" applyFill="1" applyBorder="1" applyAlignment="1">
      <alignment vertical="top" wrapText="1"/>
    </xf>
    <xf numFmtId="0" fontId="39" fillId="5" borderId="18" xfId="0" applyFont="1" applyFill="1" applyBorder="1" applyAlignment="1">
      <alignment vertical="top" wrapText="1"/>
    </xf>
    <xf numFmtId="0" fontId="22" fillId="0" borderId="0" xfId="0" applyFont="1"/>
    <xf numFmtId="0" fontId="0" fillId="8" borderId="0" xfId="0" applyFill="1"/>
    <xf numFmtId="0" fontId="0" fillId="10" borderId="0" xfId="0" applyFill="1"/>
    <xf numFmtId="0" fontId="0" fillId="9" borderId="0" xfId="0" applyFill="1"/>
    <xf numFmtId="0" fontId="0" fillId="11" borderId="0" xfId="0" applyFill="1"/>
    <xf numFmtId="0" fontId="40" fillId="0" borderId="0" xfId="0" applyFont="1" applyAlignment="1">
      <alignment horizontal="justify" vertical="top" wrapText="1"/>
    </xf>
    <xf numFmtId="0" fontId="0" fillId="0" borderId="0" xfId="0"/>
    <xf numFmtId="0" fontId="41" fillId="0" borderId="0" xfId="0" applyFont="1"/>
    <xf numFmtId="0" fontId="42" fillId="0" borderId="0" xfId="0" applyFont="1"/>
    <xf numFmtId="0" fontId="41" fillId="0" borderId="0" xfId="0" applyFont="1" applyAlignment="1">
      <alignment wrapText="1"/>
    </xf>
    <xf numFmtId="0" fontId="22" fillId="0" borderId="0" xfId="0" applyFont="1"/>
    <xf numFmtId="0" fontId="0" fillId="12" borderId="0" xfId="0" applyFill="1"/>
    <xf numFmtId="0" fontId="36" fillId="13" borderId="0" xfId="0" applyFont="1" applyFill="1"/>
    <xf numFmtId="0" fontId="36" fillId="13" borderId="0" xfId="0" applyFont="1" applyFill="1"/>
    <xf numFmtId="0" fontId="37" fillId="0" borderId="18" xfId="0" applyFont="1" applyBorder="1" applyAlignment="1">
      <alignment horizontal="center" vertical="center"/>
    </xf>
    <xf numFmtId="0" fontId="37" fillId="0" borderId="18" xfId="0" applyFont="1" applyBorder="1" applyAlignment="1">
      <alignment vertical="center" wrapText="1"/>
    </xf>
    <xf numFmtId="0" fontId="43" fillId="8" borderId="18" xfId="0" applyFont="1" applyFill="1" applyBorder="1" applyAlignment="1">
      <alignment horizontal="center" vertical="center"/>
    </xf>
    <xf numFmtId="0" fontId="37" fillId="0" borderId="18" xfId="0" applyFont="1" applyBorder="1"/>
    <xf numFmtId="0" fontId="38" fillId="9" borderId="18" xfId="0" applyFont="1" applyFill="1" applyBorder="1" applyAlignment="1">
      <alignment horizontal="center" vertical="center"/>
    </xf>
    <xf numFmtId="0" fontId="44" fillId="10" borderId="18" xfId="0" applyFont="1" applyFill="1" applyBorder="1" applyAlignment="1">
      <alignment horizontal="center" vertical="center"/>
    </xf>
    <xf numFmtId="0" fontId="45" fillId="11" borderId="18" xfId="0" applyFont="1" applyFill="1" applyBorder="1" applyAlignment="1">
      <alignment horizontal="center" vertical="center"/>
    </xf>
  </cellXfs>
  <cellStyles count="3">
    <cellStyle name="Comma" xfId="1" builtinId="3"/>
    <cellStyle name="Normal" xfId="0" builtinId="0"/>
    <cellStyle name="Normal 45 2" xfId="2" xr:uid="{084AC489-095C-4C61-99AE-EFA74E07A88B}"/>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529590</xdr:colOff>
      <xdr:row>7</xdr:row>
      <xdr:rowOff>120650</xdr:rowOff>
    </xdr:to>
    <xdr:pic>
      <xdr:nvPicPr>
        <xdr:cNvPr id="2" name="Picture 1" descr="Diagram&#10;&#10;Description automatically generated with low confidenc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2420" y="182880"/>
          <a:ext cx="8336280" cy="121793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289560</xdr:colOff>
      <xdr:row>0</xdr:row>
      <xdr:rowOff>0</xdr:rowOff>
    </xdr:from>
    <xdr:to>
      <xdr:col>10</xdr:col>
      <xdr:colOff>41910</xdr:colOff>
      <xdr:row>3</xdr:row>
      <xdr:rowOff>45720</xdr:rowOff>
    </xdr:to>
    <xdr:pic>
      <xdr:nvPicPr>
        <xdr:cNvPr id="2" name="Picture 1" descr="Diagram&#10;&#10;Description automatically generated with low confidence">
          <a:extLst>
            <a:ext uri="{FF2B5EF4-FFF2-40B4-BE49-F238E27FC236}">
              <a16:creationId xmlns:a16="http://schemas.microsoft.com/office/drawing/2014/main" id="{0AF847C3-8358-4D40-A06F-7A34EF46AE3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460" y="0"/>
          <a:ext cx="4701540" cy="59436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590550</xdr:colOff>
      <xdr:row>3</xdr:row>
      <xdr:rowOff>129540</xdr:rowOff>
    </xdr:to>
    <xdr:pic>
      <xdr:nvPicPr>
        <xdr:cNvPr id="2" name="Picture 1" descr="Diagram&#10;&#10;Description automatically generated with low confidence">
          <a:extLst>
            <a:ext uri="{FF2B5EF4-FFF2-40B4-BE49-F238E27FC236}">
              <a16:creationId xmlns:a16="http://schemas.microsoft.com/office/drawing/2014/main" id="{1CB2B98A-64FC-4211-AC7B-AA62853B3CE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6301740" cy="6781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594360</xdr:colOff>
      <xdr:row>0</xdr:row>
      <xdr:rowOff>83820</xdr:rowOff>
    </xdr:from>
    <xdr:to>
      <xdr:col>12</xdr:col>
      <xdr:colOff>163830</xdr:colOff>
      <xdr:row>4</xdr:row>
      <xdr:rowOff>68580</xdr:rowOff>
    </xdr:to>
    <xdr:pic>
      <xdr:nvPicPr>
        <xdr:cNvPr id="2" name="Picture 1" descr="Diagram&#10;&#10;Description automatically generated with low confidence">
          <a:extLst>
            <a:ext uri="{FF2B5EF4-FFF2-40B4-BE49-F238E27FC236}">
              <a16:creationId xmlns:a16="http://schemas.microsoft.com/office/drawing/2014/main" id="{B266EFDB-BC04-4989-A72F-CA70819CD52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7260" y="83820"/>
          <a:ext cx="4846320" cy="71628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0</xdr:colOff>
      <xdr:row>4</xdr:row>
      <xdr:rowOff>68580</xdr:rowOff>
    </xdr:to>
    <xdr:pic>
      <xdr:nvPicPr>
        <xdr:cNvPr id="2" name="Picture 1" descr="Diagram&#10;&#10;Description automatically generated with low confidence">
          <a:extLst>
            <a:ext uri="{FF2B5EF4-FFF2-40B4-BE49-F238E27FC236}">
              <a16:creationId xmlns:a16="http://schemas.microsoft.com/office/drawing/2014/main" id="{7441D2CA-E5F0-404D-9050-0B2D88DF741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 y="106680"/>
          <a:ext cx="9128760" cy="61722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152400</xdr:colOff>
      <xdr:row>0</xdr:row>
      <xdr:rowOff>0</xdr:rowOff>
    </xdr:from>
    <xdr:to>
      <xdr:col>10</xdr:col>
      <xdr:colOff>215265</xdr:colOff>
      <xdr:row>4</xdr:row>
      <xdr:rowOff>106680</xdr:rowOff>
    </xdr:to>
    <xdr:pic>
      <xdr:nvPicPr>
        <xdr:cNvPr id="2" name="Picture 1" descr="Diagram&#10;&#10;Description automatically generated with low confidence">
          <a:extLst>
            <a:ext uri="{FF2B5EF4-FFF2-40B4-BE49-F238E27FC236}">
              <a16:creationId xmlns:a16="http://schemas.microsoft.com/office/drawing/2014/main" id="{57A819AE-6565-45D0-80B0-02EF49DCD3A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2520" y="0"/>
          <a:ext cx="9128760" cy="76200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38100</xdr:colOff>
      <xdr:row>5</xdr:row>
      <xdr:rowOff>7620</xdr:rowOff>
    </xdr:to>
    <xdr:pic>
      <xdr:nvPicPr>
        <xdr:cNvPr id="2" name="Picture 1" descr="Diagram&#10;&#10;Description automatically generated with low confidence">
          <a:extLst>
            <a:ext uri="{FF2B5EF4-FFF2-40B4-BE49-F238E27FC236}">
              <a16:creationId xmlns:a16="http://schemas.microsoft.com/office/drawing/2014/main" id="{C6DA9F7F-D2C7-402B-BE72-23A8B7859BD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8176260" cy="92202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20955</xdr:colOff>
      <xdr:row>3</xdr:row>
      <xdr:rowOff>53340</xdr:rowOff>
    </xdr:to>
    <xdr:pic>
      <xdr:nvPicPr>
        <xdr:cNvPr id="2" name="Picture 1" descr="Diagram&#10;&#10;Description automatically generated with low confidence">
          <a:extLst>
            <a:ext uri="{FF2B5EF4-FFF2-40B4-BE49-F238E27FC236}">
              <a16:creationId xmlns:a16="http://schemas.microsoft.com/office/drawing/2014/main" id="{DDEAB8DB-0E9F-43EB-A93A-0B5F8FCC8B1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8907780" cy="60198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220980</xdr:colOff>
      <xdr:row>0</xdr:row>
      <xdr:rowOff>0</xdr:rowOff>
    </xdr:from>
    <xdr:to>
      <xdr:col>11</xdr:col>
      <xdr:colOff>1043940</xdr:colOff>
      <xdr:row>3</xdr:row>
      <xdr:rowOff>152400</xdr:rowOff>
    </xdr:to>
    <xdr:pic>
      <xdr:nvPicPr>
        <xdr:cNvPr id="2" name="Picture 1" descr="Diagram&#10;&#10;Description automatically generated with low confidence">
          <a:extLst>
            <a:ext uri="{FF2B5EF4-FFF2-40B4-BE49-F238E27FC236}">
              <a16:creationId xmlns:a16="http://schemas.microsoft.com/office/drawing/2014/main" id="{14FD8D9B-F34E-46AF-9C40-FF6662C3F09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3880" y="0"/>
          <a:ext cx="8176260" cy="70104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22860</xdr:colOff>
      <xdr:row>0</xdr:row>
      <xdr:rowOff>0</xdr:rowOff>
    </xdr:from>
    <xdr:to>
      <xdr:col>12</xdr:col>
      <xdr:colOff>401955</xdr:colOff>
      <xdr:row>4</xdr:row>
      <xdr:rowOff>53340</xdr:rowOff>
    </xdr:to>
    <xdr:pic>
      <xdr:nvPicPr>
        <xdr:cNvPr id="2" name="Picture 1" descr="Diagram&#10;&#10;Description automatically generated with low confidence">
          <a:extLst>
            <a:ext uri="{FF2B5EF4-FFF2-40B4-BE49-F238E27FC236}">
              <a16:creationId xmlns:a16="http://schemas.microsoft.com/office/drawing/2014/main" id="{A452CEA3-F639-4666-B759-10338629B52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5760" y="0"/>
          <a:ext cx="5509260" cy="78486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737235</xdr:colOff>
      <xdr:row>3</xdr:row>
      <xdr:rowOff>137160</xdr:rowOff>
    </xdr:to>
    <xdr:pic>
      <xdr:nvPicPr>
        <xdr:cNvPr id="2" name="Picture 1" descr="Diagram&#10;&#10;Description automatically generated with low confidence">
          <a:extLst>
            <a:ext uri="{FF2B5EF4-FFF2-40B4-BE49-F238E27FC236}">
              <a16:creationId xmlns:a16="http://schemas.microsoft.com/office/drawing/2014/main" id="{73F77D7A-0C12-4643-95A0-E0FE2757D0B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288780" cy="685800"/>
        </a:xfrm>
        <a:prstGeom prst="rect">
          <a:avLst/>
        </a:prstGeom>
        <a:noFill/>
        <a:ln>
          <a:noFill/>
        </a:ln>
      </xdr:spPr>
    </xdr:pic>
    <xdr:clientData/>
  </xdr:twoCellAnchor>
  <xdr:twoCellAnchor>
    <xdr:from>
      <xdr:col>1</xdr:col>
      <xdr:colOff>95250</xdr:colOff>
      <xdr:row>13</xdr:row>
      <xdr:rowOff>85725</xdr:rowOff>
    </xdr:from>
    <xdr:to>
      <xdr:col>12</xdr:col>
      <xdr:colOff>647700</xdr:colOff>
      <xdr:row>32</xdr:row>
      <xdr:rowOff>38100</xdr:rowOff>
    </xdr:to>
    <xdr:cxnSp macro="">
      <xdr:nvCxnSpPr>
        <xdr:cNvPr id="4" name="Straight Arrow Connector 3">
          <a:extLst>
            <a:ext uri="{FF2B5EF4-FFF2-40B4-BE49-F238E27FC236}">
              <a16:creationId xmlns:a16="http://schemas.microsoft.com/office/drawing/2014/main" id="{8CEB9A90-9F86-9E18-EA0C-96E444CA231C}"/>
            </a:ext>
          </a:extLst>
        </xdr:cNvPr>
        <xdr:cNvCxnSpPr/>
      </xdr:nvCxnSpPr>
      <xdr:spPr>
        <a:xfrm>
          <a:off x="495300" y="2971800"/>
          <a:ext cx="8572500" cy="3800475"/>
        </a:xfrm>
        <a:prstGeom prst="straightConnector1">
          <a:avLst/>
        </a:prstGeom>
        <a:ln>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57150</xdr:colOff>
      <xdr:row>38</xdr:row>
      <xdr:rowOff>85725</xdr:rowOff>
    </xdr:from>
    <xdr:to>
      <xdr:col>12</xdr:col>
      <xdr:colOff>809625</xdr:colOff>
      <xdr:row>55</xdr:row>
      <xdr:rowOff>180975</xdr:rowOff>
    </xdr:to>
    <xdr:cxnSp macro="">
      <xdr:nvCxnSpPr>
        <xdr:cNvPr id="7" name="Straight Arrow Connector 6">
          <a:extLst>
            <a:ext uri="{FF2B5EF4-FFF2-40B4-BE49-F238E27FC236}">
              <a16:creationId xmlns:a16="http://schemas.microsoft.com/office/drawing/2014/main" id="{9883F995-8475-5DFC-7B9D-06B7BB673686}"/>
            </a:ext>
          </a:extLst>
        </xdr:cNvPr>
        <xdr:cNvCxnSpPr/>
      </xdr:nvCxnSpPr>
      <xdr:spPr>
        <a:xfrm>
          <a:off x="457200" y="8439150"/>
          <a:ext cx="8772525" cy="3333750"/>
        </a:xfrm>
        <a:prstGeom prst="straightConnector1">
          <a:avLst/>
        </a:prstGeom>
        <a:ln>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716280</xdr:colOff>
      <xdr:row>5</xdr:row>
      <xdr:rowOff>7620</xdr:rowOff>
    </xdr:to>
    <xdr:pic>
      <xdr:nvPicPr>
        <xdr:cNvPr id="2" name="Picture 1" descr="Diagram&#10;&#10;Description automatically generated with low confidence">
          <a:extLst>
            <a:ext uri="{FF2B5EF4-FFF2-40B4-BE49-F238E27FC236}">
              <a16:creationId xmlns:a16="http://schemas.microsoft.com/office/drawing/2014/main" id="{D6A2A3C2-95AA-4047-A508-E0FCC4F5C45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288780" cy="922020"/>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45720</xdr:colOff>
      <xdr:row>0</xdr:row>
      <xdr:rowOff>0</xdr:rowOff>
    </xdr:from>
    <xdr:to>
      <xdr:col>14</xdr:col>
      <xdr:colOff>220980</xdr:colOff>
      <xdr:row>4</xdr:row>
      <xdr:rowOff>30480</xdr:rowOff>
    </xdr:to>
    <xdr:pic>
      <xdr:nvPicPr>
        <xdr:cNvPr id="2" name="Picture 1" descr="Diagram&#10;&#10;Description automatically generated with low confidence">
          <a:extLst>
            <a:ext uri="{FF2B5EF4-FFF2-40B4-BE49-F238E27FC236}">
              <a16:creationId xmlns:a16="http://schemas.microsoft.com/office/drawing/2014/main" id="{B0952DBB-1F14-4659-A9F2-7427A74594F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6380" y="0"/>
          <a:ext cx="8176260" cy="76200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60960</xdr:colOff>
      <xdr:row>0</xdr:row>
      <xdr:rowOff>0</xdr:rowOff>
    </xdr:from>
    <xdr:to>
      <xdr:col>7</xdr:col>
      <xdr:colOff>4046220</xdr:colOff>
      <xdr:row>3</xdr:row>
      <xdr:rowOff>121920</xdr:rowOff>
    </xdr:to>
    <xdr:pic>
      <xdr:nvPicPr>
        <xdr:cNvPr id="2" name="Picture 1" descr="Diagram&#10;&#10;Description automatically generated with low confidence">
          <a:extLst>
            <a:ext uri="{FF2B5EF4-FFF2-40B4-BE49-F238E27FC236}">
              <a16:creationId xmlns:a16="http://schemas.microsoft.com/office/drawing/2014/main" id="{47A570A2-AF77-413B-B153-13BEFEA3543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1620" y="0"/>
          <a:ext cx="9433560" cy="670560"/>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60960</xdr:colOff>
      <xdr:row>0</xdr:row>
      <xdr:rowOff>0</xdr:rowOff>
    </xdr:from>
    <xdr:to>
      <xdr:col>7</xdr:col>
      <xdr:colOff>4046220</xdr:colOff>
      <xdr:row>3</xdr:row>
      <xdr:rowOff>121920</xdr:rowOff>
    </xdr:to>
    <xdr:pic>
      <xdr:nvPicPr>
        <xdr:cNvPr id="2" name="Picture 1" descr="Diagram&#10;&#10;Description automatically generated with low confidence">
          <a:extLst>
            <a:ext uri="{FF2B5EF4-FFF2-40B4-BE49-F238E27FC236}">
              <a16:creationId xmlns:a16="http://schemas.microsoft.com/office/drawing/2014/main" id="{8EA46D4F-935A-4E64-AF75-3841021AB8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1620" y="0"/>
          <a:ext cx="9433560" cy="67056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60834-B795-44BF-A400-34A265C531CF}">
  <dimension ref="B1:J17"/>
  <sheetViews>
    <sheetView view="pageBreakPreview" zoomScaleNormal="100" zoomScaleSheetLayoutView="100" workbookViewId="0">
      <selection activeCell="K23" sqref="K23"/>
    </sheetView>
  </sheetViews>
  <sheetFormatPr defaultRowHeight="14.4" x14ac:dyDescent="0.3"/>
  <cols>
    <col min="2" max="10" width="8.6640625" customWidth="1"/>
  </cols>
  <sheetData>
    <row r="1" spans="2:10" ht="20.100000000000001" customHeight="1" x14ac:dyDescent="0.3"/>
    <row r="2" spans="2:10" ht="20.100000000000001" customHeight="1" x14ac:dyDescent="0.3"/>
    <row r="3" spans="2:10" ht="20.100000000000001" customHeight="1" x14ac:dyDescent="0.3"/>
    <row r="4" spans="2:10" ht="15" customHeight="1" x14ac:dyDescent="0.3">
      <c r="C4" s="215" t="s">
        <v>423</v>
      </c>
      <c r="D4" s="215"/>
      <c r="E4" s="215"/>
      <c r="F4" s="215"/>
      <c r="G4" s="215"/>
      <c r="H4" s="215"/>
      <c r="I4" s="215"/>
    </row>
    <row r="5" spans="2:10" ht="15" customHeight="1" x14ac:dyDescent="0.3">
      <c r="C5" s="215"/>
      <c r="D5" s="215"/>
      <c r="E5" s="215"/>
      <c r="F5" s="215"/>
      <c r="G5" s="215"/>
      <c r="H5" s="215"/>
      <c r="I5" s="215"/>
    </row>
    <row r="6" spans="2:10" ht="20.100000000000001" customHeight="1" x14ac:dyDescent="0.3">
      <c r="B6" s="216" t="s">
        <v>424</v>
      </c>
      <c r="C6" s="216"/>
      <c r="D6" s="216"/>
      <c r="E6" s="216"/>
      <c r="F6" s="216"/>
      <c r="G6" s="216"/>
      <c r="H6" s="216"/>
      <c r="I6" s="216"/>
      <c r="J6" s="216"/>
    </row>
    <row r="7" spans="2:10" ht="20.100000000000001" customHeight="1" x14ac:dyDescent="0.3">
      <c r="B7" s="215" t="s">
        <v>426</v>
      </c>
      <c r="C7" s="215"/>
      <c r="D7" s="215"/>
      <c r="E7" s="215"/>
      <c r="F7" s="215"/>
      <c r="G7" s="215"/>
      <c r="H7" s="215"/>
      <c r="I7" s="215"/>
      <c r="J7" s="215"/>
    </row>
    <row r="8" spans="2:10" ht="9.9" customHeight="1" x14ac:dyDescent="0.3">
      <c r="B8" s="152"/>
      <c r="C8" s="152"/>
      <c r="D8" s="152"/>
      <c r="E8" s="152"/>
      <c r="F8" s="152"/>
      <c r="G8" s="152"/>
      <c r="H8" s="152"/>
      <c r="I8" s="152"/>
      <c r="J8" s="152"/>
    </row>
    <row r="9" spans="2:10" ht="20.100000000000001" customHeight="1" x14ac:dyDescent="0.3">
      <c r="B9" s="217" t="s">
        <v>425</v>
      </c>
      <c r="C9" s="217"/>
      <c r="D9" s="217"/>
      <c r="E9" s="217"/>
      <c r="F9" s="217"/>
      <c r="G9" s="217"/>
      <c r="H9" s="217"/>
      <c r="I9" s="217"/>
      <c r="J9" s="217"/>
    </row>
    <row r="10" spans="2:10" ht="20.100000000000001" customHeight="1" x14ac:dyDescent="0.3">
      <c r="B10" s="215" t="s">
        <v>430</v>
      </c>
      <c r="C10" s="215"/>
      <c r="D10" s="215"/>
      <c r="E10" s="215"/>
      <c r="F10" s="215"/>
      <c r="G10" s="215"/>
      <c r="H10" s="215"/>
      <c r="I10" s="215"/>
      <c r="J10" s="215"/>
    </row>
    <row r="11" spans="2:10" ht="20.100000000000001" customHeight="1" x14ac:dyDescent="0.3"/>
    <row r="12" spans="2:10" ht="20.100000000000001" customHeight="1" x14ac:dyDescent="0.3"/>
    <row r="13" spans="2:10" ht="20.100000000000001" customHeight="1" x14ac:dyDescent="0.3"/>
    <row r="14" spans="2:10" ht="20.100000000000001" customHeight="1" x14ac:dyDescent="0.3"/>
    <row r="15" spans="2:10" ht="20.100000000000001" customHeight="1" x14ac:dyDescent="0.3"/>
    <row r="16" spans="2:10" ht="20.100000000000001" customHeight="1" x14ac:dyDescent="0.3"/>
    <row r="17" ht="20.100000000000001" customHeight="1" x14ac:dyDescent="0.3"/>
  </sheetData>
  <mergeCells count="5">
    <mergeCell ref="C4:I5"/>
    <mergeCell ref="B6:J6"/>
    <mergeCell ref="B7:J7"/>
    <mergeCell ref="B9:J9"/>
    <mergeCell ref="B10:J10"/>
  </mergeCells>
  <pageMargins left="0.74803149606299202" right="0.74803149606299202" top="0.98425196850393704" bottom="0.78740157480314998" header="0.511811023622047" footer="0.39370078740157499"/>
  <pageSetup paperSize="9" scale="95" orientation="portrait" r:id="rId1"/>
  <headerFooter scaleWithDoc="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EF2A3-08EF-40FA-970B-34E7E001CB7A}">
  <dimension ref="A1:M27"/>
  <sheetViews>
    <sheetView view="pageBreakPreview" topLeftCell="A10" zoomScaleNormal="100" zoomScaleSheetLayoutView="100" workbookViewId="0">
      <selection activeCell="M16" sqref="M16"/>
    </sheetView>
  </sheetViews>
  <sheetFormatPr defaultRowHeight="14.4" x14ac:dyDescent="0.3"/>
  <cols>
    <col min="1" max="1" width="7.6640625" customWidth="1"/>
    <col min="2" max="2" width="0.88671875" customWidth="1"/>
    <col min="10" max="10" width="4.88671875" customWidth="1"/>
    <col min="12" max="12" width="1.44140625" customWidth="1"/>
  </cols>
  <sheetData>
    <row r="1" spans="1:13" ht="20.100000000000001" customHeight="1" x14ac:dyDescent="0.3">
      <c r="B1" s="218" t="s">
        <v>423</v>
      </c>
      <c r="C1" s="218"/>
      <c r="D1" s="218"/>
      <c r="E1" s="218"/>
      <c r="F1" s="218"/>
      <c r="G1" s="218"/>
      <c r="H1" s="218"/>
      <c r="I1" s="218"/>
      <c r="J1" s="218"/>
      <c r="K1" s="218"/>
      <c r="L1" s="218"/>
    </row>
    <row r="2" spans="1:13" ht="20.100000000000001" customHeight="1" x14ac:dyDescent="0.3">
      <c r="B2" s="218" t="s">
        <v>424</v>
      </c>
      <c r="C2" s="218"/>
      <c r="D2" s="218"/>
      <c r="E2" s="218"/>
      <c r="F2" s="218"/>
      <c r="G2" s="218"/>
      <c r="H2" s="218"/>
      <c r="I2" s="218"/>
      <c r="J2" s="218"/>
      <c r="K2" s="218"/>
      <c r="L2" s="218"/>
    </row>
    <row r="3" spans="1:13" ht="9.9" customHeight="1" thickBot="1" x14ac:dyDescent="0.35">
      <c r="B3" s="182"/>
      <c r="C3" s="183"/>
      <c r="D3" s="183"/>
      <c r="E3" s="183"/>
      <c r="F3" s="183"/>
      <c r="G3" s="183"/>
      <c r="H3" s="183"/>
      <c r="I3" s="183"/>
      <c r="J3" s="183"/>
      <c r="K3" s="183"/>
      <c r="L3" s="183"/>
    </row>
    <row r="4" spans="1:13" ht="15" customHeight="1" x14ac:dyDescent="0.3"/>
    <row r="5" spans="1:13" s="188" customFormat="1" ht="20.100000000000001" customHeight="1" x14ac:dyDescent="0.3">
      <c r="A5" s="184"/>
      <c r="B5" s="184"/>
      <c r="C5" s="185" t="s">
        <v>410</v>
      </c>
      <c r="D5" s="186"/>
      <c r="E5" s="184"/>
      <c r="F5" s="184"/>
      <c r="G5" s="184"/>
      <c r="H5" s="184"/>
      <c r="I5" s="184"/>
      <c r="J5" s="184"/>
      <c r="K5" s="187" t="s">
        <v>411</v>
      </c>
      <c r="L5" s="184"/>
    </row>
    <row r="6" spans="1:13" ht="20.100000000000001" customHeight="1" x14ac:dyDescent="0.3"/>
    <row r="7" spans="1:13" ht="20.100000000000001" customHeight="1" x14ac:dyDescent="0.3">
      <c r="C7" s="190" t="s">
        <v>412</v>
      </c>
      <c r="K7" s="189" t="s">
        <v>413</v>
      </c>
    </row>
    <row r="8" spans="1:13" ht="9.9" customHeight="1" x14ac:dyDescent="0.3"/>
    <row r="9" spans="1:13" ht="20.100000000000001" customHeight="1" x14ac:dyDescent="0.3">
      <c r="C9" s="191" t="s">
        <v>422</v>
      </c>
    </row>
    <row r="10" spans="1:13" ht="9.9" customHeight="1" x14ac:dyDescent="0.3"/>
    <row r="11" spans="1:13" ht="20.100000000000001" customHeight="1" x14ac:dyDescent="0.3">
      <c r="C11" s="152" t="s">
        <v>594</v>
      </c>
      <c r="D11" s="175"/>
      <c r="E11" s="175"/>
      <c r="F11" s="175"/>
      <c r="G11" s="175"/>
      <c r="H11" s="175"/>
      <c r="I11" s="175"/>
      <c r="J11" s="175"/>
      <c r="K11" s="192">
        <v>7</v>
      </c>
      <c r="M11" t="s">
        <v>478</v>
      </c>
    </row>
    <row r="12" spans="1:13" ht="20.100000000000001" customHeight="1" x14ac:dyDescent="0.3">
      <c r="C12" s="152" t="s">
        <v>595</v>
      </c>
      <c r="D12" s="175"/>
      <c r="E12" s="175"/>
      <c r="F12" s="175"/>
      <c r="G12" s="175"/>
      <c r="H12" s="175"/>
      <c r="I12" s="175"/>
      <c r="J12" s="175"/>
      <c r="K12" s="192">
        <v>8</v>
      </c>
      <c r="M12" t="s">
        <v>477</v>
      </c>
    </row>
    <row r="13" spans="1:13" ht="20.100000000000001" customHeight="1" x14ac:dyDescent="0.3">
      <c r="C13" s="152" t="s">
        <v>596</v>
      </c>
      <c r="D13" s="175"/>
      <c r="E13" s="175"/>
      <c r="F13" s="175"/>
      <c r="G13" s="175"/>
      <c r="H13" s="175"/>
      <c r="I13" s="175"/>
      <c r="J13" s="175"/>
      <c r="K13" s="192">
        <v>9</v>
      </c>
      <c r="M13" t="s">
        <v>479</v>
      </c>
    </row>
    <row r="14" spans="1:13" ht="20.100000000000001" customHeight="1" x14ac:dyDescent="0.3">
      <c r="C14" s="152" t="s">
        <v>597</v>
      </c>
      <c r="D14" s="175"/>
      <c r="E14" s="175"/>
      <c r="F14" s="175"/>
      <c r="G14" s="175"/>
      <c r="H14" s="175"/>
      <c r="I14" s="175"/>
      <c r="J14" s="175"/>
      <c r="K14" s="192">
        <v>10</v>
      </c>
      <c r="M14" t="s">
        <v>480</v>
      </c>
    </row>
    <row r="15" spans="1:13" ht="20.100000000000001" customHeight="1" x14ac:dyDescent="0.3">
      <c r="C15" s="152" t="s">
        <v>598</v>
      </c>
      <c r="D15" s="175"/>
      <c r="E15" s="175"/>
      <c r="F15" s="175"/>
      <c r="G15" s="175"/>
      <c r="H15" s="175"/>
      <c r="I15" s="175"/>
      <c r="J15" s="175"/>
      <c r="K15" s="192">
        <v>11</v>
      </c>
      <c r="M15" t="s">
        <v>481</v>
      </c>
    </row>
    <row r="16" spans="1:13" ht="20.100000000000001" customHeight="1" x14ac:dyDescent="0.3">
      <c r="C16" s="152" t="s">
        <v>599</v>
      </c>
      <c r="D16" s="175"/>
      <c r="E16" s="175"/>
      <c r="F16" s="175"/>
      <c r="G16" s="175"/>
      <c r="H16" s="175"/>
      <c r="I16" s="175"/>
      <c r="J16" s="175"/>
      <c r="K16" s="192">
        <v>12</v>
      </c>
      <c r="M16" t="s">
        <v>482</v>
      </c>
    </row>
    <row r="17" spans="3:13" ht="20.100000000000001" customHeight="1" x14ac:dyDescent="0.3">
      <c r="C17" s="152" t="s">
        <v>600</v>
      </c>
      <c r="D17" s="175"/>
      <c r="E17" s="175"/>
      <c r="F17" s="175"/>
      <c r="G17" s="175"/>
      <c r="H17" s="175"/>
      <c r="I17" s="175"/>
      <c r="J17" s="175"/>
      <c r="K17" s="192">
        <v>13</v>
      </c>
      <c r="M17" t="s">
        <v>483</v>
      </c>
    </row>
    <row r="18" spans="3:13" ht="20.100000000000001" customHeight="1" x14ac:dyDescent="0.3">
      <c r="C18" s="152" t="s">
        <v>415</v>
      </c>
      <c r="D18" s="175"/>
      <c r="E18" s="175"/>
      <c r="F18" s="175"/>
      <c r="G18" s="175"/>
      <c r="H18" s="175"/>
      <c r="I18" s="175"/>
      <c r="J18" s="175"/>
      <c r="K18" s="192">
        <v>14</v>
      </c>
      <c r="M18" t="s">
        <v>484</v>
      </c>
    </row>
    <row r="19" spans="3:13" ht="20.100000000000001" customHeight="1" x14ac:dyDescent="0.3">
      <c r="C19" s="152" t="s">
        <v>416</v>
      </c>
      <c r="D19" s="175"/>
      <c r="E19" s="175"/>
      <c r="F19" s="175"/>
      <c r="G19" s="175"/>
      <c r="H19" s="175"/>
      <c r="I19" s="175"/>
      <c r="J19" s="175"/>
      <c r="K19" s="192">
        <v>15</v>
      </c>
      <c r="M19" t="s">
        <v>485</v>
      </c>
    </row>
    <row r="20" spans="3:13" ht="20.100000000000001" customHeight="1" x14ac:dyDescent="0.3">
      <c r="C20" s="152" t="s">
        <v>417</v>
      </c>
      <c r="D20" s="175"/>
      <c r="E20" s="175"/>
      <c r="F20" s="175"/>
      <c r="G20" s="175"/>
      <c r="H20" s="175"/>
      <c r="I20" s="175"/>
      <c r="J20" s="175"/>
      <c r="K20" s="192">
        <v>16</v>
      </c>
      <c r="M20" t="s">
        <v>486</v>
      </c>
    </row>
    <row r="21" spans="3:13" ht="20.100000000000001" customHeight="1" x14ac:dyDescent="0.3">
      <c r="C21" s="152" t="s">
        <v>414</v>
      </c>
      <c r="K21" s="192">
        <v>17</v>
      </c>
      <c r="M21" t="s">
        <v>487</v>
      </c>
    </row>
    <row r="22" spans="3:13" ht="20.100000000000001" customHeight="1" x14ac:dyDescent="0.3">
      <c r="C22" s="152" t="s">
        <v>418</v>
      </c>
      <c r="K22" s="193" t="s">
        <v>432</v>
      </c>
      <c r="M22" t="s">
        <v>488</v>
      </c>
    </row>
    <row r="23" spans="3:13" ht="20.100000000000001" customHeight="1" x14ac:dyDescent="0.3">
      <c r="C23" s="152" t="s">
        <v>419</v>
      </c>
      <c r="K23" s="192">
        <v>21</v>
      </c>
      <c r="M23" t="s">
        <v>489</v>
      </c>
    </row>
    <row r="24" spans="3:13" ht="20.100000000000001" customHeight="1" x14ac:dyDescent="0.3">
      <c r="C24" s="152" t="s">
        <v>420</v>
      </c>
      <c r="K24" s="192">
        <v>22</v>
      </c>
      <c r="M24" t="s">
        <v>490</v>
      </c>
    </row>
    <row r="25" spans="3:13" ht="20.100000000000001" customHeight="1" x14ac:dyDescent="0.3">
      <c r="C25" s="152" t="s">
        <v>421</v>
      </c>
      <c r="K25" s="192">
        <v>23</v>
      </c>
      <c r="M25" t="s">
        <v>491</v>
      </c>
    </row>
    <row r="26" spans="3:13" ht="20.100000000000001" customHeight="1" x14ac:dyDescent="0.3"/>
    <row r="27" spans="3:13" ht="20.100000000000001" customHeight="1" x14ac:dyDescent="0.3"/>
  </sheetData>
  <mergeCells count="2">
    <mergeCell ref="B1:L1"/>
    <mergeCell ref="B2:L2"/>
  </mergeCells>
  <pageMargins left="0.74803149606299202" right="0.74803149606299202" top="0.98425196850393704" bottom="0.78740157480314998" header="0.511811023622047" footer="0.39370078740157499"/>
  <pageSetup paperSize="9" scale="95" orientation="portrait" r:id="rId1"/>
  <headerFooter scaleWithDoc="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A22BE-EDB4-4A3D-A75B-0D3D04791090}">
  <dimension ref="B1:S297"/>
  <sheetViews>
    <sheetView view="pageBreakPreview" topLeftCell="A280" zoomScaleNormal="100" zoomScaleSheetLayoutView="100" workbookViewId="0">
      <selection activeCell="B283" sqref="B283:J297"/>
    </sheetView>
  </sheetViews>
  <sheetFormatPr defaultColWidth="9.109375" defaultRowHeight="14.4" x14ac:dyDescent="0.3"/>
  <cols>
    <col min="1" max="1" width="7.6640625" style="163" customWidth="1"/>
    <col min="2" max="2" width="12.5546875" style="163" customWidth="1"/>
    <col min="3" max="3" width="6.109375" style="163" customWidth="1"/>
    <col min="4" max="5" width="9.109375" style="163"/>
    <col min="6" max="6" width="6.33203125" style="163" customWidth="1"/>
    <col min="7" max="7" width="9.33203125" style="163" bestFit="1" customWidth="1"/>
    <col min="8" max="9" width="9.109375" style="163"/>
    <col min="10" max="10" width="12.109375" style="163" bestFit="1" customWidth="1"/>
    <col min="11" max="16384" width="9.109375" style="163"/>
  </cols>
  <sheetData>
    <row r="1" spans="2:12" ht="20.100000000000001" customHeight="1" x14ac:dyDescent="0.3">
      <c r="B1" s="164"/>
    </row>
    <row r="2" spans="2:12" ht="20.100000000000001" customHeight="1" x14ac:dyDescent="0.3">
      <c r="B2" s="164"/>
    </row>
    <row r="3" spans="2:12" ht="20.100000000000001" customHeight="1" x14ac:dyDescent="0.3">
      <c r="B3" s="198" t="s">
        <v>463</v>
      </c>
    </row>
    <row r="4" spans="2:12" ht="20.100000000000001" customHeight="1" x14ac:dyDescent="0.3">
      <c r="B4" s="71" t="s">
        <v>431</v>
      </c>
    </row>
    <row r="5" spans="2:12" ht="5.0999999999999996" customHeight="1" x14ac:dyDescent="0.3">
      <c r="B5" s="164"/>
    </row>
    <row r="6" spans="2:12" ht="20.100000000000001" customHeight="1" x14ac:dyDescent="0.3">
      <c r="B6" s="164" t="s">
        <v>433</v>
      </c>
    </row>
    <row r="7" spans="2:12" ht="15" customHeight="1" x14ac:dyDescent="0.3">
      <c r="B7" s="164"/>
    </row>
    <row r="8" spans="2:12" ht="20.100000000000001" customHeight="1" x14ac:dyDescent="0.3">
      <c r="B8" s="164" t="s">
        <v>344</v>
      </c>
    </row>
    <row r="9" spans="2:12" ht="9.9" customHeight="1" x14ac:dyDescent="0.3">
      <c r="B9" s="165"/>
    </row>
    <row r="10" spans="2:12" ht="45" customHeight="1" x14ac:dyDescent="0.3">
      <c r="B10" s="220" t="s">
        <v>464</v>
      </c>
      <c r="C10" s="220"/>
      <c r="D10" s="220"/>
      <c r="E10" s="220"/>
      <c r="F10" s="220"/>
      <c r="G10" s="220"/>
      <c r="H10" s="220"/>
      <c r="I10" s="220"/>
      <c r="J10" s="220"/>
      <c r="L10" s="197"/>
    </row>
    <row r="11" spans="2:12" ht="15" customHeight="1" x14ac:dyDescent="0.3">
      <c r="B11" s="165"/>
    </row>
    <row r="12" spans="2:12" x14ac:dyDescent="0.3">
      <c r="B12" s="222" t="s">
        <v>492</v>
      </c>
      <c r="C12" s="222"/>
      <c r="D12" s="222"/>
      <c r="E12" s="222"/>
      <c r="F12" s="222"/>
      <c r="G12" s="222"/>
      <c r="H12" s="222"/>
      <c r="I12" s="222"/>
      <c r="J12" s="222"/>
    </row>
    <row r="13" spans="2:12" ht="90" customHeight="1" x14ac:dyDescent="0.3">
      <c r="B13" s="219" t="s">
        <v>445</v>
      </c>
      <c r="C13" s="219"/>
      <c r="D13" s="219"/>
      <c r="E13" s="219"/>
      <c r="F13" s="219"/>
      <c r="G13" s="219"/>
      <c r="H13" s="219"/>
      <c r="I13" s="219"/>
      <c r="J13" s="219"/>
    </row>
    <row r="14" spans="2:12" ht="60" customHeight="1" x14ac:dyDescent="0.3">
      <c r="B14" s="219" t="s">
        <v>434</v>
      </c>
      <c r="C14" s="219"/>
      <c r="D14" s="219"/>
      <c r="E14" s="219"/>
      <c r="F14" s="219"/>
      <c r="G14" s="219"/>
      <c r="H14" s="219"/>
      <c r="I14" s="219"/>
      <c r="J14" s="219"/>
    </row>
    <row r="15" spans="2:12" ht="20.100000000000001" customHeight="1" x14ac:dyDescent="0.3">
      <c r="B15" s="219" t="s">
        <v>435</v>
      </c>
      <c r="C15" s="219"/>
      <c r="D15" s="219"/>
      <c r="E15" s="219"/>
      <c r="F15" s="219"/>
      <c r="G15" s="219"/>
      <c r="H15" s="219"/>
      <c r="I15" s="219"/>
      <c r="J15" s="219"/>
    </row>
    <row r="16" spans="2:12" ht="15" customHeight="1" x14ac:dyDescent="0.3">
      <c r="B16" s="165"/>
    </row>
    <row r="17" spans="2:12" x14ac:dyDescent="0.3">
      <c r="B17" s="222" t="s">
        <v>493</v>
      </c>
      <c r="C17" s="222"/>
      <c r="D17" s="222"/>
      <c r="E17" s="222"/>
      <c r="F17" s="222"/>
      <c r="G17" s="222"/>
      <c r="H17" s="222"/>
      <c r="I17" s="222"/>
      <c r="J17" s="222"/>
    </row>
    <row r="18" spans="2:12" ht="20.100000000000001" customHeight="1" x14ac:dyDescent="0.3">
      <c r="B18" s="195" t="s">
        <v>494</v>
      </c>
      <c r="C18" s="223" t="s">
        <v>345</v>
      </c>
      <c r="D18" s="223"/>
      <c r="E18" s="223"/>
      <c r="F18" s="223"/>
      <c r="G18" s="223"/>
      <c r="H18" s="223"/>
      <c r="I18" s="223"/>
      <c r="J18" s="223"/>
      <c r="L18" s="197" t="s">
        <v>449</v>
      </c>
    </row>
    <row r="19" spans="2:12" ht="20.100000000000001" customHeight="1" x14ac:dyDescent="0.3">
      <c r="B19" s="195" t="s">
        <v>495</v>
      </c>
      <c r="C19" s="223" t="s">
        <v>437</v>
      </c>
      <c r="D19" s="223"/>
      <c r="E19" s="223"/>
      <c r="F19" s="223"/>
      <c r="G19" s="223"/>
      <c r="H19" s="223"/>
      <c r="I19" s="223"/>
      <c r="J19" s="223"/>
      <c r="L19" s="197" t="s">
        <v>450</v>
      </c>
    </row>
    <row r="20" spans="2:12" ht="20.100000000000001" customHeight="1" x14ac:dyDescent="0.3">
      <c r="B20" s="195" t="s">
        <v>496</v>
      </c>
      <c r="C20" s="223" t="s">
        <v>436</v>
      </c>
      <c r="D20" s="223"/>
      <c r="E20" s="223"/>
      <c r="F20" s="223"/>
      <c r="G20" s="223"/>
      <c r="H20" s="223"/>
      <c r="I20" s="223"/>
      <c r="J20" s="223"/>
      <c r="L20" s="197" t="s">
        <v>451</v>
      </c>
    </row>
    <row r="21" spans="2:12" ht="20.100000000000001" customHeight="1" x14ac:dyDescent="0.3">
      <c r="B21" s="195" t="s">
        <v>497</v>
      </c>
      <c r="C21" s="223" t="s">
        <v>438</v>
      </c>
      <c r="D21" s="223"/>
      <c r="E21" s="223"/>
      <c r="F21" s="223"/>
      <c r="G21" s="223"/>
      <c r="H21" s="223"/>
      <c r="I21" s="223"/>
      <c r="J21" s="223"/>
      <c r="L21" s="197" t="s">
        <v>452</v>
      </c>
    </row>
    <row r="22" spans="2:12" ht="20.100000000000001" customHeight="1" x14ac:dyDescent="0.3">
      <c r="B22" s="195" t="s">
        <v>498</v>
      </c>
      <c r="C22" s="223" t="s">
        <v>346</v>
      </c>
      <c r="D22" s="223"/>
      <c r="E22" s="223"/>
      <c r="F22" s="223"/>
      <c r="G22" s="223"/>
      <c r="H22" s="223"/>
      <c r="I22" s="223"/>
      <c r="J22" s="223"/>
      <c r="L22" s="197" t="s">
        <v>453</v>
      </c>
    </row>
    <row r="23" spans="2:12" ht="20.100000000000001" customHeight="1" x14ac:dyDescent="0.3">
      <c r="B23" s="195" t="s">
        <v>499</v>
      </c>
      <c r="C23" s="223" t="s">
        <v>439</v>
      </c>
      <c r="D23" s="223"/>
      <c r="E23" s="223"/>
      <c r="F23" s="223"/>
      <c r="G23" s="223"/>
      <c r="H23" s="223"/>
      <c r="I23" s="223"/>
      <c r="J23" s="223"/>
      <c r="L23" s="197" t="s">
        <v>454</v>
      </c>
    </row>
    <row r="24" spans="2:12" ht="20.100000000000001" customHeight="1" x14ac:dyDescent="0.3">
      <c r="B24" s="195" t="s">
        <v>500</v>
      </c>
      <c r="C24" s="223" t="s">
        <v>440</v>
      </c>
      <c r="D24" s="223"/>
      <c r="E24" s="223"/>
      <c r="F24" s="223"/>
      <c r="G24" s="223"/>
      <c r="H24" s="223"/>
      <c r="I24" s="223"/>
      <c r="J24" s="223"/>
      <c r="L24" s="197" t="s">
        <v>455</v>
      </c>
    </row>
    <row r="25" spans="2:12" ht="20.100000000000001" customHeight="1" x14ac:dyDescent="0.3">
      <c r="B25" s="195" t="s">
        <v>501</v>
      </c>
      <c r="C25" s="223" t="s">
        <v>348</v>
      </c>
      <c r="D25" s="223"/>
      <c r="E25" s="223"/>
      <c r="F25" s="223"/>
      <c r="G25" s="223"/>
      <c r="H25" s="223"/>
      <c r="I25" s="223"/>
      <c r="J25" s="223"/>
      <c r="L25" s="197" t="s">
        <v>456</v>
      </c>
    </row>
    <row r="26" spans="2:12" ht="20.100000000000001" customHeight="1" x14ac:dyDescent="0.3">
      <c r="B26" s="195" t="s">
        <v>502</v>
      </c>
      <c r="C26" s="223" t="s">
        <v>441</v>
      </c>
      <c r="D26" s="223"/>
      <c r="E26" s="223"/>
      <c r="F26" s="223"/>
      <c r="G26" s="223"/>
      <c r="H26" s="223"/>
      <c r="I26" s="223"/>
      <c r="J26" s="223"/>
      <c r="L26" s="197" t="s">
        <v>457</v>
      </c>
    </row>
    <row r="27" spans="2:12" ht="20.100000000000001" customHeight="1" x14ac:dyDescent="0.3">
      <c r="B27" s="195" t="s">
        <v>503</v>
      </c>
      <c r="C27" s="223" t="s">
        <v>347</v>
      </c>
      <c r="D27" s="223"/>
      <c r="E27" s="223"/>
      <c r="F27" s="223"/>
      <c r="G27" s="223"/>
      <c r="H27" s="223"/>
      <c r="I27" s="223"/>
      <c r="J27" s="223"/>
      <c r="L27" s="197" t="s">
        <v>458</v>
      </c>
    </row>
    <row r="28" spans="2:12" ht="20.100000000000001" customHeight="1" x14ac:dyDescent="0.3">
      <c r="B28" s="195" t="s">
        <v>504</v>
      </c>
      <c r="C28" s="223" t="s">
        <v>28</v>
      </c>
      <c r="D28" s="223"/>
      <c r="E28" s="223"/>
      <c r="F28" s="223"/>
      <c r="G28" s="223"/>
      <c r="H28" s="223"/>
      <c r="I28" s="223"/>
      <c r="J28" s="223"/>
      <c r="L28" s="197" t="s">
        <v>459</v>
      </c>
    </row>
    <row r="29" spans="2:12" ht="20.100000000000001" customHeight="1" x14ac:dyDescent="0.3">
      <c r="B29" s="195" t="s">
        <v>505</v>
      </c>
      <c r="C29" s="223" t="s">
        <v>442</v>
      </c>
      <c r="D29" s="223"/>
      <c r="E29" s="223"/>
      <c r="F29" s="223"/>
      <c r="G29" s="223"/>
      <c r="H29" s="223"/>
      <c r="I29" s="223"/>
      <c r="J29" s="223"/>
      <c r="L29" s="197" t="s">
        <v>460</v>
      </c>
    </row>
    <row r="30" spans="2:12" ht="20.100000000000001" customHeight="1" x14ac:dyDescent="0.3">
      <c r="B30" s="195" t="s">
        <v>506</v>
      </c>
      <c r="C30" s="223" t="s">
        <v>443</v>
      </c>
      <c r="D30" s="223"/>
      <c r="E30" s="223"/>
      <c r="F30" s="223"/>
      <c r="G30" s="223"/>
      <c r="H30" s="223"/>
      <c r="I30" s="223"/>
      <c r="J30" s="223"/>
      <c r="L30" s="197" t="s">
        <v>461</v>
      </c>
    </row>
    <row r="31" spans="2:12" ht="20.100000000000001" customHeight="1" x14ac:dyDescent="0.3">
      <c r="B31" s="195" t="s">
        <v>507</v>
      </c>
      <c r="C31" s="223" t="s">
        <v>444</v>
      </c>
      <c r="D31" s="223"/>
      <c r="E31" s="223"/>
      <c r="F31" s="223"/>
      <c r="G31" s="223"/>
      <c r="H31" s="223"/>
      <c r="I31" s="223"/>
      <c r="J31" s="223"/>
      <c r="L31" s="197" t="s">
        <v>462</v>
      </c>
    </row>
    <row r="32" spans="2:12" ht="20.100000000000001" customHeight="1" x14ac:dyDescent="0.3">
      <c r="B32" s="195" t="s">
        <v>508</v>
      </c>
      <c r="C32" s="223" t="s">
        <v>446</v>
      </c>
      <c r="D32" s="223"/>
      <c r="E32" s="223"/>
      <c r="F32" s="223"/>
      <c r="G32" s="223"/>
      <c r="H32" s="223"/>
      <c r="I32" s="223"/>
      <c r="J32" s="223"/>
      <c r="L32" s="197" t="s">
        <v>447</v>
      </c>
    </row>
    <row r="33" spans="2:13" ht="20.100000000000001" customHeight="1" x14ac:dyDescent="0.3">
      <c r="B33" s="166"/>
      <c r="C33" s="167"/>
    </row>
    <row r="34" spans="2:13" ht="20.100000000000001" customHeight="1" x14ac:dyDescent="0.3">
      <c r="B34" s="166"/>
      <c r="C34" s="195"/>
    </row>
    <row r="35" spans="2:13" ht="45" customHeight="1" x14ac:dyDescent="0.3">
      <c r="B35" s="220" t="s">
        <v>472</v>
      </c>
      <c r="C35" s="220"/>
      <c r="D35" s="220"/>
      <c r="E35" s="220"/>
      <c r="F35" s="220"/>
      <c r="G35" s="220"/>
      <c r="H35" s="220"/>
      <c r="I35" s="220"/>
      <c r="J35" s="220"/>
      <c r="L35" s="197"/>
    </row>
    <row r="36" spans="2:13" ht="30" customHeight="1" x14ac:dyDescent="0.3">
      <c r="B36" s="219" t="s">
        <v>448</v>
      </c>
      <c r="C36" s="219"/>
      <c r="D36" s="219"/>
      <c r="E36" s="219"/>
      <c r="F36" s="219"/>
      <c r="G36" s="219"/>
      <c r="H36" s="219"/>
      <c r="I36" s="219"/>
      <c r="J36" s="219"/>
    </row>
    <row r="37" spans="2:13" x14ac:dyDescent="0.3">
      <c r="B37" s="222" t="s">
        <v>509</v>
      </c>
      <c r="C37" s="222"/>
      <c r="D37" s="222"/>
      <c r="E37" s="222"/>
      <c r="F37" s="222"/>
      <c r="G37" s="222"/>
      <c r="H37" s="222"/>
      <c r="I37" s="222"/>
      <c r="J37" s="222"/>
    </row>
    <row r="38" spans="2:13" ht="5.25" customHeight="1" x14ac:dyDescent="0.3">
      <c r="B38" s="165"/>
    </row>
    <row r="39" spans="2:13" ht="20.100000000000001" customHeight="1" x14ac:dyDescent="0.3">
      <c r="B39" s="196" t="s">
        <v>381</v>
      </c>
    </row>
    <row r="40" spans="2:13" ht="5.0999999999999996" customHeight="1" x14ac:dyDescent="0.3">
      <c r="B40" s="169"/>
    </row>
    <row r="41" spans="2:13" ht="15.9" customHeight="1" x14ac:dyDescent="0.3">
      <c r="B41" s="219" t="s">
        <v>465</v>
      </c>
      <c r="C41" s="219"/>
      <c r="D41" s="219"/>
      <c r="E41" s="219"/>
      <c r="F41" s="219"/>
      <c r="G41" s="219"/>
      <c r="H41" s="219"/>
      <c r="I41" s="219"/>
      <c r="J41" s="219"/>
      <c r="M41" s="199"/>
    </row>
    <row r="42" spans="2:13" ht="15.9" customHeight="1" x14ac:dyDescent="0.3">
      <c r="B42" s="226" t="s">
        <v>466</v>
      </c>
      <c r="C42" s="226"/>
      <c r="D42" s="226"/>
      <c r="E42" s="226"/>
      <c r="F42" s="226"/>
      <c r="G42" s="226"/>
      <c r="H42" s="226"/>
      <c r="I42" s="226"/>
      <c r="J42" s="226"/>
      <c r="M42" s="199"/>
    </row>
    <row r="43" spans="2:13" ht="15.9" customHeight="1" x14ac:dyDescent="0.3">
      <c r="B43" s="226" t="s">
        <v>467</v>
      </c>
      <c r="C43" s="226"/>
      <c r="D43" s="226"/>
      <c r="E43" s="226"/>
      <c r="F43" s="226"/>
      <c r="G43" s="226"/>
      <c r="H43" s="226"/>
      <c r="I43" s="226"/>
      <c r="J43" s="226"/>
      <c r="M43" s="199"/>
    </row>
    <row r="44" spans="2:13" ht="15.9" customHeight="1" x14ac:dyDescent="0.3">
      <c r="B44" s="226" t="s">
        <v>468</v>
      </c>
      <c r="C44" s="226"/>
      <c r="D44" s="226"/>
      <c r="E44" s="226"/>
      <c r="F44" s="226"/>
      <c r="G44" s="226"/>
      <c r="H44" s="226"/>
      <c r="I44" s="226"/>
      <c r="J44" s="226"/>
      <c r="M44" s="199"/>
    </row>
    <row r="45" spans="2:13" s="200" customFormat="1" ht="15.9" customHeight="1" x14ac:dyDescent="0.3">
      <c r="B45" s="219" t="s">
        <v>469</v>
      </c>
      <c r="C45" s="219"/>
      <c r="D45" s="219"/>
      <c r="E45" s="219"/>
      <c r="F45" s="219"/>
      <c r="G45" s="219"/>
      <c r="H45" s="219"/>
      <c r="I45" s="219"/>
      <c r="J45" s="219"/>
      <c r="M45" s="201"/>
    </row>
    <row r="46" spans="2:13" s="200" customFormat="1" ht="15.9" customHeight="1" x14ac:dyDescent="0.3">
      <c r="B46" s="223" t="s">
        <v>470</v>
      </c>
      <c r="C46" s="223"/>
      <c r="D46" s="223"/>
      <c r="E46" s="223"/>
      <c r="F46" s="223"/>
      <c r="G46" s="223"/>
      <c r="H46" s="223"/>
      <c r="I46" s="223"/>
      <c r="J46" s="223"/>
      <c r="M46" s="201"/>
    </row>
    <row r="47" spans="2:13" x14ac:dyDescent="0.3">
      <c r="B47" s="170"/>
      <c r="M47" s="199"/>
    </row>
    <row r="48" spans="2:13" ht="20.100000000000001" customHeight="1" x14ac:dyDescent="0.3">
      <c r="B48" s="196" t="s">
        <v>471</v>
      </c>
      <c r="C48" s="71"/>
      <c r="D48" s="71"/>
      <c r="E48" s="71"/>
      <c r="F48" s="71"/>
      <c r="G48" s="71"/>
      <c r="H48" s="71"/>
      <c r="I48" s="71"/>
      <c r="J48" s="71"/>
    </row>
    <row r="49" spans="2:10" ht="5.0999999999999996" customHeight="1" x14ac:dyDescent="0.3">
      <c r="B49" s="171"/>
    </row>
    <row r="50" spans="2:10" ht="30" customHeight="1" x14ac:dyDescent="0.3">
      <c r="B50" s="219" t="s">
        <v>512</v>
      </c>
      <c r="C50" s="219"/>
      <c r="D50" s="219"/>
      <c r="E50" s="219"/>
      <c r="F50" s="219"/>
      <c r="G50" s="219"/>
      <c r="H50" s="219"/>
      <c r="I50" s="219"/>
      <c r="J50" s="219"/>
    </row>
    <row r="51" spans="2:10" ht="15" customHeight="1" x14ac:dyDescent="0.3">
      <c r="B51" s="219" t="s">
        <v>513</v>
      </c>
      <c r="C51" s="219"/>
      <c r="D51" s="219"/>
      <c r="E51" s="219"/>
      <c r="F51" s="219"/>
      <c r="G51" s="219"/>
      <c r="H51" s="219"/>
      <c r="I51" s="219"/>
      <c r="J51" s="219"/>
    </row>
    <row r="52" spans="2:10" ht="15" customHeight="1" x14ac:dyDescent="0.3">
      <c r="B52" s="219" t="s">
        <v>514</v>
      </c>
      <c r="C52" s="219"/>
      <c r="D52" s="219"/>
      <c r="E52" s="219"/>
      <c r="F52" s="219"/>
      <c r="G52" s="219"/>
      <c r="H52" s="219"/>
      <c r="I52" s="219"/>
      <c r="J52" s="219"/>
    </row>
    <row r="53" spans="2:10" ht="15" customHeight="1" x14ac:dyDescent="0.3">
      <c r="B53" s="219" t="s">
        <v>515</v>
      </c>
      <c r="C53" s="219"/>
      <c r="D53" s="219"/>
      <c r="E53" s="219"/>
      <c r="F53" s="219"/>
      <c r="G53" s="219"/>
      <c r="H53" s="219"/>
      <c r="I53" s="219"/>
      <c r="J53" s="219"/>
    </row>
    <row r="54" spans="2:10" ht="15" customHeight="1" x14ac:dyDescent="0.3">
      <c r="B54" s="219" t="s">
        <v>516</v>
      </c>
      <c r="C54" s="219"/>
      <c r="D54" s="219"/>
      <c r="E54" s="219"/>
      <c r="F54" s="219"/>
      <c r="G54" s="219"/>
      <c r="H54" s="219"/>
      <c r="I54" s="219"/>
      <c r="J54" s="219"/>
    </row>
    <row r="55" spans="2:10" ht="15" customHeight="1" x14ac:dyDescent="0.3">
      <c r="B55" s="170"/>
    </row>
    <row r="56" spans="2:10" ht="20.100000000000001" customHeight="1" x14ac:dyDescent="0.3">
      <c r="B56" s="196" t="s">
        <v>517</v>
      </c>
      <c r="C56" s="71"/>
      <c r="D56" s="71"/>
      <c r="E56" s="71"/>
      <c r="F56" s="71"/>
      <c r="G56" s="71"/>
      <c r="H56" s="71"/>
      <c r="I56" s="71"/>
      <c r="J56" s="71"/>
    </row>
    <row r="57" spans="2:10" ht="5.0999999999999996" customHeight="1" x14ac:dyDescent="0.3">
      <c r="B57" s="171"/>
    </row>
    <row r="58" spans="2:10" ht="15" customHeight="1" x14ac:dyDescent="0.3">
      <c r="B58" s="219" t="s">
        <v>518</v>
      </c>
      <c r="C58" s="219"/>
      <c r="D58" s="219"/>
      <c r="E58" s="219"/>
      <c r="F58" s="219"/>
      <c r="G58" s="219"/>
      <c r="H58" s="219"/>
      <c r="I58" s="219"/>
      <c r="J58" s="219"/>
    </row>
    <row r="59" spans="2:10" ht="15" customHeight="1" x14ac:dyDescent="0.3">
      <c r="B59" s="219" t="s">
        <v>519</v>
      </c>
      <c r="C59" s="219"/>
      <c r="D59" s="219"/>
      <c r="E59" s="219"/>
      <c r="F59" s="219"/>
      <c r="G59" s="219"/>
      <c r="H59" s="219"/>
      <c r="I59" s="219"/>
      <c r="J59" s="219"/>
    </row>
    <row r="60" spans="2:10" ht="15" customHeight="1" x14ac:dyDescent="0.3">
      <c r="B60" s="219" t="s">
        <v>520</v>
      </c>
      <c r="C60" s="219"/>
      <c r="D60" s="219"/>
      <c r="E60" s="219"/>
      <c r="F60" s="219"/>
      <c r="G60" s="219"/>
      <c r="H60" s="219"/>
      <c r="I60" s="219"/>
      <c r="J60" s="219"/>
    </row>
    <row r="61" spans="2:10" ht="15" customHeight="1" x14ac:dyDescent="0.3">
      <c r="B61" s="219" t="s">
        <v>521</v>
      </c>
      <c r="C61" s="219"/>
      <c r="D61" s="219"/>
      <c r="E61" s="219"/>
      <c r="F61" s="219"/>
      <c r="G61" s="219"/>
      <c r="H61" s="219"/>
      <c r="I61" s="219"/>
      <c r="J61" s="219"/>
    </row>
    <row r="62" spans="2:10" ht="15" customHeight="1" x14ac:dyDescent="0.3">
      <c r="B62" s="219" t="s">
        <v>522</v>
      </c>
      <c r="C62" s="219"/>
      <c r="D62" s="219"/>
      <c r="E62" s="219"/>
      <c r="F62" s="219"/>
      <c r="G62" s="219"/>
      <c r="H62" s="219"/>
      <c r="I62" s="219"/>
      <c r="J62" s="219"/>
    </row>
    <row r="63" spans="2:10" ht="15" customHeight="1" x14ac:dyDescent="0.3">
      <c r="B63" s="219" t="s">
        <v>529</v>
      </c>
      <c r="C63" s="219"/>
      <c r="D63" s="219"/>
      <c r="E63" s="219"/>
      <c r="F63" s="219"/>
      <c r="G63" s="219"/>
      <c r="H63" s="219"/>
      <c r="I63" s="219"/>
      <c r="J63" s="219"/>
    </row>
    <row r="64" spans="2:10" ht="15" customHeight="1" x14ac:dyDescent="0.3">
      <c r="B64" s="170"/>
    </row>
    <row r="65" spans="2:12" ht="20.100000000000001" customHeight="1" x14ac:dyDescent="0.3">
      <c r="B65" s="196" t="s">
        <v>530</v>
      </c>
      <c r="C65" s="71"/>
      <c r="D65" s="71"/>
      <c r="E65" s="71"/>
      <c r="F65" s="71"/>
      <c r="G65" s="71"/>
      <c r="H65" s="71"/>
      <c r="I65" s="71"/>
      <c r="J65" s="71"/>
    </row>
    <row r="66" spans="2:12" ht="5.0999999999999996" customHeight="1" x14ac:dyDescent="0.3">
      <c r="B66" s="171"/>
    </row>
    <row r="67" spans="2:12" ht="30" customHeight="1" x14ac:dyDescent="0.3">
      <c r="B67" s="219" t="s">
        <v>523</v>
      </c>
      <c r="C67" s="219"/>
      <c r="D67" s="219"/>
      <c r="E67" s="219"/>
      <c r="F67" s="219"/>
      <c r="G67" s="219"/>
      <c r="H67" s="219"/>
      <c r="I67" s="219"/>
      <c r="J67" s="219"/>
    </row>
    <row r="68" spans="2:12" ht="15" customHeight="1" x14ac:dyDescent="0.3">
      <c r="B68" s="219" t="s">
        <v>524</v>
      </c>
      <c r="C68" s="219"/>
      <c r="D68" s="219"/>
      <c r="E68" s="219"/>
      <c r="F68" s="219"/>
      <c r="G68" s="219"/>
      <c r="H68" s="219"/>
      <c r="I68" s="219"/>
      <c r="J68" s="219"/>
    </row>
    <row r="69" spans="2:12" ht="15" customHeight="1" x14ac:dyDescent="0.3">
      <c r="B69" s="219" t="s">
        <v>525</v>
      </c>
      <c r="C69" s="219"/>
      <c r="D69" s="219"/>
      <c r="E69" s="219"/>
      <c r="F69" s="219"/>
      <c r="G69" s="219"/>
      <c r="H69" s="219"/>
      <c r="I69" s="219"/>
      <c r="J69" s="219"/>
    </row>
    <row r="70" spans="2:12" ht="15" customHeight="1" x14ac:dyDescent="0.3">
      <c r="B70" s="219" t="s">
        <v>526</v>
      </c>
      <c r="C70" s="219"/>
      <c r="D70" s="219"/>
      <c r="E70" s="219"/>
      <c r="F70" s="219"/>
      <c r="G70" s="219"/>
      <c r="H70" s="219"/>
      <c r="I70" s="219"/>
      <c r="J70" s="219"/>
    </row>
    <row r="71" spans="2:12" ht="15" customHeight="1" x14ac:dyDescent="0.3">
      <c r="B71" s="219" t="s">
        <v>527</v>
      </c>
      <c r="C71" s="219"/>
      <c r="D71" s="219"/>
      <c r="E71" s="219"/>
      <c r="F71" s="219"/>
      <c r="G71" s="219"/>
      <c r="H71" s="219"/>
      <c r="I71" s="219"/>
      <c r="J71" s="219"/>
    </row>
    <row r="72" spans="2:12" ht="15" customHeight="1" x14ac:dyDescent="0.3">
      <c r="B72" s="219" t="s">
        <v>528</v>
      </c>
      <c r="C72" s="219"/>
      <c r="D72" s="219"/>
      <c r="E72" s="219"/>
      <c r="F72" s="219"/>
      <c r="G72" s="219"/>
      <c r="H72" s="219"/>
      <c r="I72" s="219"/>
      <c r="J72" s="219"/>
    </row>
    <row r="73" spans="2:12" ht="15" customHeight="1" x14ac:dyDescent="0.3">
      <c r="B73" s="170"/>
    </row>
    <row r="74" spans="2:12" ht="20.100000000000001" customHeight="1" x14ac:dyDescent="0.3">
      <c r="B74" s="196" t="s">
        <v>531</v>
      </c>
    </row>
    <row r="75" spans="2:12" ht="5.0999999999999996" customHeight="1" x14ac:dyDescent="0.3">
      <c r="B75" s="169"/>
    </row>
    <row r="76" spans="2:12" ht="15" customHeight="1" x14ac:dyDescent="0.3">
      <c r="B76" s="219" t="s">
        <v>532</v>
      </c>
      <c r="C76" s="219"/>
      <c r="D76" s="219"/>
      <c r="E76" s="219"/>
      <c r="F76" s="219"/>
      <c r="G76" s="219"/>
      <c r="H76" s="219"/>
      <c r="I76" s="219"/>
      <c r="J76" s="219"/>
    </row>
    <row r="77" spans="2:12" ht="15" customHeight="1" x14ac:dyDescent="0.3">
      <c r="B77" s="219" t="s">
        <v>533</v>
      </c>
      <c r="C77" s="219"/>
      <c r="D77" s="219"/>
      <c r="E77" s="219"/>
      <c r="F77" s="219"/>
      <c r="G77" s="219"/>
      <c r="H77" s="219"/>
      <c r="I77" s="219"/>
      <c r="J77" s="219"/>
    </row>
    <row r="78" spans="2:12" ht="30" customHeight="1" x14ac:dyDescent="0.3">
      <c r="B78" s="219" t="s">
        <v>534</v>
      </c>
      <c r="C78" s="219"/>
      <c r="D78" s="219"/>
      <c r="E78" s="219"/>
      <c r="F78" s="219"/>
      <c r="G78" s="219"/>
      <c r="H78" s="219"/>
      <c r="I78" s="219"/>
      <c r="J78" s="219"/>
    </row>
    <row r="79" spans="2:12" ht="15" customHeight="1" x14ac:dyDescent="0.3">
      <c r="B79" s="226" t="s">
        <v>535</v>
      </c>
      <c r="C79" s="226"/>
      <c r="D79" s="226"/>
      <c r="E79" s="226"/>
      <c r="F79" s="226"/>
      <c r="G79" s="226"/>
      <c r="H79" s="226"/>
      <c r="I79" s="226"/>
      <c r="J79" s="226"/>
    </row>
    <row r="80" spans="2:12" ht="45" customHeight="1" x14ac:dyDescent="0.3">
      <c r="B80" s="220" t="s">
        <v>472</v>
      </c>
      <c r="C80" s="220"/>
      <c r="D80" s="220"/>
      <c r="E80" s="220"/>
      <c r="F80" s="220"/>
      <c r="G80" s="220"/>
      <c r="H80" s="220"/>
      <c r="I80" s="220"/>
      <c r="J80" s="220"/>
      <c r="L80" s="197"/>
    </row>
    <row r="81" spans="2:10" ht="20.100000000000001" customHeight="1" x14ac:dyDescent="0.3">
      <c r="B81" s="196" t="s">
        <v>593</v>
      </c>
    </row>
    <row r="82" spans="2:10" ht="5.0999999999999996" customHeight="1" x14ac:dyDescent="0.3">
      <c r="B82" s="169"/>
    </row>
    <row r="83" spans="2:10" ht="15" customHeight="1" x14ac:dyDescent="0.3">
      <c r="B83" s="226" t="s">
        <v>536</v>
      </c>
      <c r="C83" s="226"/>
      <c r="D83" s="226"/>
      <c r="E83" s="226"/>
      <c r="F83" s="226"/>
      <c r="G83" s="226"/>
      <c r="H83" s="226"/>
      <c r="I83" s="226"/>
      <c r="J83" s="226"/>
    </row>
    <row r="84" spans="2:10" ht="15" customHeight="1" x14ac:dyDescent="0.3">
      <c r="B84" s="226" t="s">
        <v>537</v>
      </c>
      <c r="C84" s="226"/>
      <c r="D84" s="226"/>
      <c r="E84" s="226"/>
      <c r="F84" s="226"/>
      <c r="G84" s="226"/>
      <c r="H84" s="226"/>
      <c r="I84" s="226"/>
      <c r="J84" s="226"/>
    </row>
    <row r="85" spans="2:10" ht="15" customHeight="1" x14ac:dyDescent="0.3">
      <c r="B85" s="172"/>
    </row>
    <row r="86" spans="2:10" ht="20.100000000000001" customHeight="1" x14ac:dyDescent="0.3">
      <c r="B86" s="196" t="s">
        <v>538</v>
      </c>
    </row>
    <row r="87" spans="2:10" ht="5.0999999999999996" customHeight="1" x14ac:dyDescent="0.3">
      <c r="B87" s="169"/>
    </row>
    <row r="88" spans="2:10" ht="15" customHeight="1" x14ac:dyDescent="0.3">
      <c r="B88" s="219" t="s">
        <v>539</v>
      </c>
      <c r="C88" s="219"/>
      <c r="D88" s="219"/>
      <c r="E88" s="219"/>
      <c r="F88" s="219"/>
      <c r="G88" s="219"/>
      <c r="H88" s="219"/>
      <c r="I88" s="219"/>
      <c r="J88" s="219"/>
    </row>
    <row r="89" spans="2:10" ht="30" customHeight="1" x14ac:dyDescent="0.3">
      <c r="B89" s="219" t="s">
        <v>540</v>
      </c>
      <c r="C89" s="219"/>
      <c r="D89" s="219"/>
      <c r="E89" s="219"/>
      <c r="F89" s="219"/>
      <c r="G89" s="219"/>
      <c r="H89" s="219"/>
      <c r="I89" s="219"/>
      <c r="J89" s="219"/>
    </row>
    <row r="90" spans="2:10" ht="15" customHeight="1" x14ac:dyDescent="0.3">
      <c r="B90" s="172"/>
    </row>
    <row r="91" spans="2:10" ht="20.100000000000001" customHeight="1" x14ac:dyDescent="0.3">
      <c r="B91" s="196" t="s">
        <v>541</v>
      </c>
      <c r="C91" s="71"/>
      <c r="D91" s="71"/>
      <c r="E91" s="71"/>
      <c r="F91" s="71"/>
      <c r="G91" s="71"/>
      <c r="H91" s="71"/>
      <c r="I91" s="71"/>
      <c r="J91" s="71"/>
    </row>
    <row r="92" spans="2:10" ht="5.0999999999999996" customHeight="1" x14ac:dyDescent="0.3">
      <c r="B92" s="171"/>
    </row>
    <row r="93" spans="2:10" ht="15" customHeight="1" x14ac:dyDescent="0.3">
      <c r="B93" s="219" t="s">
        <v>542</v>
      </c>
      <c r="C93" s="219"/>
      <c r="D93" s="219"/>
      <c r="E93" s="219"/>
      <c r="F93" s="219"/>
      <c r="G93" s="219"/>
      <c r="H93" s="219"/>
      <c r="I93" s="219"/>
      <c r="J93" s="219"/>
    </row>
    <row r="94" spans="2:10" ht="15" customHeight="1" x14ac:dyDescent="0.3">
      <c r="B94" s="219" t="s">
        <v>543</v>
      </c>
      <c r="C94" s="219"/>
      <c r="D94" s="219"/>
      <c r="E94" s="219"/>
      <c r="F94" s="219"/>
      <c r="G94" s="219"/>
      <c r="H94" s="219"/>
      <c r="I94" s="219"/>
      <c r="J94" s="219"/>
    </row>
    <row r="95" spans="2:10" ht="15" customHeight="1" x14ac:dyDescent="0.3">
      <c r="B95" s="219" t="s">
        <v>544</v>
      </c>
      <c r="C95" s="219"/>
      <c r="D95" s="219"/>
      <c r="E95" s="219"/>
      <c r="F95" s="219"/>
      <c r="G95" s="219"/>
      <c r="H95" s="219"/>
      <c r="I95" s="219"/>
      <c r="J95" s="219"/>
    </row>
    <row r="96" spans="2:10" ht="15" customHeight="1" x14ac:dyDescent="0.3">
      <c r="B96" s="219" t="s">
        <v>545</v>
      </c>
      <c r="C96" s="219"/>
      <c r="D96" s="219"/>
      <c r="E96" s="219"/>
      <c r="F96" s="219"/>
      <c r="G96" s="219"/>
      <c r="H96" s="219"/>
      <c r="I96" s="219"/>
      <c r="J96" s="219"/>
    </row>
    <row r="97" spans="2:10" ht="15" customHeight="1" x14ac:dyDescent="0.3">
      <c r="B97" s="219" t="s">
        <v>546</v>
      </c>
      <c r="C97" s="219"/>
      <c r="D97" s="219"/>
      <c r="E97" s="219"/>
      <c r="F97" s="219"/>
      <c r="G97" s="219"/>
      <c r="H97" s="219"/>
      <c r="I97" s="219"/>
      <c r="J97" s="219"/>
    </row>
    <row r="98" spans="2:10" ht="15" customHeight="1" x14ac:dyDescent="0.3">
      <c r="B98" s="170"/>
    </row>
    <row r="99" spans="2:10" ht="20.100000000000001" customHeight="1" x14ac:dyDescent="0.3">
      <c r="B99" s="196" t="s">
        <v>547</v>
      </c>
      <c r="C99" s="71"/>
      <c r="D99" s="71"/>
      <c r="E99" s="71"/>
      <c r="F99" s="71"/>
      <c r="G99" s="71"/>
      <c r="H99" s="71"/>
      <c r="I99" s="71"/>
      <c r="J99" s="71"/>
    </row>
    <row r="100" spans="2:10" ht="5.0999999999999996" customHeight="1" x14ac:dyDescent="0.3">
      <c r="B100" s="171"/>
    </row>
    <row r="101" spans="2:10" ht="15" customHeight="1" x14ac:dyDescent="0.3">
      <c r="B101" s="219" t="s">
        <v>548</v>
      </c>
      <c r="C101" s="219"/>
      <c r="D101" s="219"/>
      <c r="E101" s="219"/>
      <c r="F101" s="219"/>
      <c r="G101" s="219"/>
      <c r="H101" s="219"/>
      <c r="I101" s="219"/>
      <c r="J101" s="219"/>
    </row>
    <row r="102" spans="2:10" ht="15" customHeight="1" x14ac:dyDescent="0.3">
      <c r="B102" s="219" t="s">
        <v>549</v>
      </c>
      <c r="C102" s="219"/>
      <c r="D102" s="219"/>
      <c r="E102" s="219"/>
      <c r="F102" s="219"/>
      <c r="G102" s="219"/>
      <c r="H102" s="219"/>
      <c r="I102" s="219"/>
      <c r="J102" s="219"/>
    </row>
    <row r="103" spans="2:10" ht="15" customHeight="1" x14ac:dyDescent="0.3">
      <c r="B103" s="219" t="s">
        <v>550</v>
      </c>
      <c r="C103" s="219"/>
      <c r="D103" s="219"/>
      <c r="E103" s="219"/>
      <c r="F103" s="219"/>
      <c r="G103" s="219"/>
      <c r="H103" s="219"/>
      <c r="I103" s="219"/>
      <c r="J103" s="219"/>
    </row>
    <row r="104" spans="2:10" ht="15" customHeight="1" x14ac:dyDescent="0.3">
      <c r="B104" s="219" t="s">
        <v>551</v>
      </c>
      <c r="C104" s="219"/>
      <c r="D104" s="219"/>
      <c r="E104" s="219"/>
      <c r="F104" s="219"/>
      <c r="G104" s="219"/>
      <c r="H104" s="219"/>
      <c r="I104" s="219"/>
      <c r="J104" s="219"/>
    </row>
    <row r="105" spans="2:10" ht="30" customHeight="1" x14ac:dyDescent="0.3">
      <c r="B105" s="219" t="s">
        <v>552</v>
      </c>
      <c r="C105" s="219"/>
      <c r="D105" s="219"/>
      <c r="E105" s="219"/>
      <c r="F105" s="219"/>
      <c r="G105" s="219"/>
      <c r="H105" s="219"/>
      <c r="I105" s="219"/>
      <c r="J105" s="219"/>
    </row>
    <row r="106" spans="2:10" ht="15" customHeight="1" x14ac:dyDescent="0.3">
      <c r="B106" s="170"/>
    </row>
    <row r="107" spans="2:10" ht="20.100000000000001" customHeight="1" x14ac:dyDescent="0.3">
      <c r="B107" s="196" t="s">
        <v>557</v>
      </c>
      <c r="C107" s="71"/>
      <c r="D107" s="71"/>
      <c r="E107" s="71"/>
      <c r="F107" s="71"/>
      <c r="G107" s="71"/>
      <c r="H107" s="71"/>
      <c r="I107" s="71"/>
      <c r="J107" s="71"/>
    </row>
    <row r="108" spans="2:10" ht="5.0999999999999996" customHeight="1" x14ac:dyDescent="0.3">
      <c r="B108" s="171"/>
    </row>
    <row r="109" spans="2:10" ht="30" customHeight="1" x14ac:dyDescent="0.3">
      <c r="B109" s="219" t="s">
        <v>553</v>
      </c>
      <c r="C109" s="219"/>
      <c r="D109" s="219"/>
      <c r="E109" s="219"/>
      <c r="F109" s="219"/>
      <c r="G109" s="219"/>
      <c r="H109" s="219"/>
      <c r="I109" s="219"/>
      <c r="J109" s="219"/>
    </row>
    <row r="110" spans="2:10" ht="15" customHeight="1" x14ac:dyDescent="0.3">
      <c r="B110" s="219" t="s">
        <v>554</v>
      </c>
      <c r="C110" s="219"/>
      <c r="D110" s="219"/>
      <c r="E110" s="219"/>
      <c r="F110" s="219"/>
      <c r="G110" s="219"/>
      <c r="H110" s="219"/>
      <c r="I110" s="219"/>
      <c r="J110" s="219"/>
    </row>
    <row r="111" spans="2:10" ht="15" customHeight="1" x14ac:dyDescent="0.3">
      <c r="B111" s="219" t="s">
        <v>555</v>
      </c>
      <c r="C111" s="219"/>
      <c r="D111" s="219"/>
      <c r="E111" s="219"/>
      <c r="F111" s="219"/>
      <c r="G111" s="219"/>
      <c r="H111" s="219"/>
      <c r="I111" s="219"/>
      <c r="J111" s="219"/>
    </row>
    <row r="112" spans="2:10" ht="15" customHeight="1" x14ac:dyDescent="0.3">
      <c r="B112" s="219" t="s">
        <v>556</v>
      </c>
      <c r="C112" s="219"/>
      <c r="D112" s="219"/>
      <c r="E112" s="219"/>
      <c r="F112" s="219"/>
      <c r="G112" s="219"/>
      <c r="H112" s="219"/>
      <c r="I112" s="219"/>
      <c r="J112" s="219"/>
    </row>
    <row r="113" spans="2:12" ht="15" customHeight="1" x14ac:dyDescent="0.3">
      <c r="B113" s="170"/>
    </row>
    <row r="114" spans="2:12" ht="20.100000000000001" customHeight="1" x14ac:dyDescent="0.3">
      <c r="B114" s="225" t="s">
        <v>558</v>
      </c>
      <c r="C114" s="225"/>
      <c r="D114" s="225"/>
      <c r="E114" s="225"/>
      <c r="F114" s="225"/>
      <c r="G114" s="225"/>
      <c r="H114" s="225"/>
      <c r="I114" s="225"/>
      <c r="J114" s="225"/>
    </row>
    <row r="115" spans="2:12" ht="5.0999999999999996" customHeight="1" x14ac:dyDescent="0.3">
      <c r="B115" s="169"/>
    </row>
    <row r="116" spans="2:12" ht="15" customHeight="1" x14ac:dyDescent="0.3">
      <c r="B116" s="219" t="s">
        <v>559</v>
      </c>
      <c r="C116" s="219"/>
      <c r="D116" s="219"/>
      <c r="E116" s="219"/>
      <c r="F116" s="219"/>
      <c r="G116" s="219"/>
      <c r="H116" s="219"/>
      <c r="I116" s="219"/>
      <c r="J116" s="219"/>
    </row>
    <row r="117" spans="2:12" ht="30" customHeight="1" x14ac:dyDescent="0.3">
      <c r="B117" s="219" t="s">
        <v>560</v>
      </c>
      <c r="C117" s="219"/>
      <c r="D117" s="219"/>
      <c r="E117" s="219"/>
      <c r="F117" s="219"/>
      <c r="G117" s="219"/>
      <c r="H117" s="219"/>
      <c r="I117" s="219"/>
      <c r="J117" s="219"/>
    </row>
    <row r="118" spans="2:12" ht="30" customHeight="1" x14ac:dyDescent="0.3">
      <c r="B118" s="219" t="s">
        <v>561</v>
      </c>
      <c r="C118" s="219"/>
      <c r="D118" s="219"/>
      <c r="E118" s="219"/>
      <c r="F118" s="219"/>
      <c r="G118" s="219"/>
      <c r="H118" s="219"/>
      <c r="I118" s="219"/>
      <c r="J118" s="219"/>
    </row>
    <row r="119" spans="2:12" ht="15" customHeight="1" x14ac:dyDescent="0.3">
      <c r="B119" s="226" t="s">
        <v>562</v>
      </c>
      <c r="C119" s="226"/>
      <c r="D119" s="226"/>
      <c r="E119" s="226"/>
      <c r="F119" s="226"/>
      <c r="G119" s="226"/>
      <c r="H119" s="226"/>
      <c r="I119" s="226"/>
      <c r="J119" s="226"/>
    </row>
    <row r="120" spans="2:12" ht="30" customHeight="1" x14ac:dyDescent="0.3">
      <c r="B120" s="219" t="s">
        <v>563</v>
      </c>
      <c r="C120" s="219"/>
      <c r="D120" s="219"/>
      <c r="E120" s="219"/>
      <c r="F120" s="219"/>
      <c r="G120" s="219"/>
      <c r="H120" s="219"/>
      <c r="I120" s="219"/>
      <c r="J120" s="219"/>
    </row>
    <row r="121" spans="2:12" ht="15" customHeight="1" x14ac:dyDescent="0.3">
      <c r="B121" s="170"/>
    </row>
    <row r="122" spans="2:12" ht="45" customHeight="1" x14ac:dyDescent="0.3">
      <c r="B122" s="220" t="s">
        <v>472</v>
      </c>
      <c r="C122" s="220"/>
      <c r="D122" s="220"/>
      <c r="E122" s="220"/>
      <c r="F122" s="220"/>
      <c r="G122" s="220"/>
      <c r="H122" s="220"/>
      <c r="I122" s="220"/>
      <c r="J122" s="220"/>
      <c r="L122" s="197"/>
    </row>
    <row r="123" spans="2:12" ht="20.100000000000001" customHeight="1" x14ac:dyDescent="0.3">
      <c r="B123" s="233" t="s">
        <v>572</v>
      </c>
      <c r="C123" s="233"/>
      <c r="D123" s="233"/>
      <c r="E123" s="233"/>
      <c r="F123" s="233"/>
      <c r="G123" s="233"/>
      <c r="H123" s="233"/>
      <c r="I123" s="233"/>
      <c r="J123" s="233"/>
    </row>
    <row r="124" spans="2:12" ht="5.0999999999999996" customHeight="1" x14ac:dyDescent="0.3">
      <c r="B124" s="168"/>
    </row>
    <row r="125" spans="2:12" ht="15" customHeight="1" x14ac:dyDescent="0.3">
      <c r="B125" s="219" t="s">
        <v>571</v>
      </c>
      <c r="C125" s="219"/>
      <c r="D125" s="219"/>
      <c r="E125" s="219"/>
      <c r="F125" s="219"/>
      <c r="G125" s="219"/>
      <c r="H125" s="219"/>
      <c r="I125" s="219"/>
      <c r="J125" s="219"/>
    </row>
    <row r="126" spans="2:12" ht="15" customHeight="1" x14ac:dyDescent="0.3">
      <c r="B126" s="219" t="s">
        <v>564</v>
      </c>
      <c r="C126" s="219"/>
      <c r="D126" s="219"/>
      <c r="E126" s="219"/>
      <c r="F126" s="219"/>
      <c r="G126" s="219"/>
      <c r="H126" s="219"/>
      <c r="I126" s="219"/>
      <c r="J126" s="219"/>
    </row>
    <row r="127" spans="2:12" ht="15" customHeight="1" x14ac:dyDescent="0.3">
      <c r="B127" s="219" t="s">
        <v>565</v>
      </c>
      <c r="C127" s="219"/>
      <c r="D127" s="219"/>
      <c r="E127" s="219"/>
      <c r="F127" s="219"/>
      <c r="G127" s="219"/>
      <c r="H127" s="219"/>
      <c r="I127" s="219"/>
      <c r="J127" s="219"/>
    </row>
    <row r="128" spans="2:12" ht="15" customHeight="1" x14ac:dyDescent="0.3">
      <c r="B128" s="219" t="s">
        <v>566</v>
      </c>
      <c r="C128" s="219"/>
      <c r="D128" s="219"/>
      <c r="E128" s="219"/>
      <c r="F128" s="219"/>
      <c r="G128" s="219"/>
      <c r="H128" s="219"/>
      <c r="I128" s="219"/>
      <c r="J128" s="219"/>
    </row>
    <row r="129" spans="2:10" ht="15" customHeight="1" x14ac:dyDescent="0.3">
      <c r="B129" s="219" t="s">
        <v>567</v>
      </c>
      <c r="C129" s="219"/>
      <c r="D129" s="219"/>
      <c r="E129" s="219"/>
      <c r="F129" s="219"/>
      <c r="G129" s="219"/>
      <c r="H129" s="219"/>
      <c r="I129" s="219"/>
      <c r="J129" s="219"/>
    </row>
    <row r="130" spans="2:10" ht="15" customHeight="1" x14ac:dyDescent="0.3">
      <c r="B130" s="219" t="s">
        <v>568</v>
      </c>
      <c r="C130" s="219"/>
      <c r="D130" s="219"/>
      <c r="E130" s="219"/>
      <c r="F130" s="219"/>
      <c r="G130" s="219"/>
      <c r="H130" s="219"/>
      <c r="I130" s="219"/>
      <c r="J130" s="219"/>
    </row>
    <row r="131" spans="2:10" ht="15" customHeight="1" x14ac:dyDescent="0.3">
      <c r="B131" s="219" t="s">
        <v>569</v>
      </c>
      <c r="C131" s="219"/>
      <c r="D131" s="219"/>
      <c r="E131" s="219"/>
      <c r="F131" s="219"/>
      <c r="G131" s="219"/>
      <c r="H131" s="219"/>
      <c r="I131" s="219"/>
      <c r="J131" s="219"/>
    </row>
    <row r="132" spans="2:10" ht="15" customHeight="1" x14ac:dyDescent="0.3">
      <c r="B132" s="219" t="s">
        <v>570</v>
      </c>
      <c r="C132" s="219"/>
      <c r="D132" s="219"/>
      <c r="E132" s="219"/>
      <c r="F132" s="219"/>
      <c r="G132" s="219"/>
      <c r="H132" s="219"/>
      <c r="I132" s="219"/>
      <c r="J132" s="219"/>
    </row>
    <row r="133" spans="2:10" ht="15" customHeight="1" x14ac:dyDescent="0.3">
      <c r="B133" s="172"/>
    </row>
    <row r="134" spans="2:10" ht="20.100000000000001" customHeight="1" x14ac:dyDescent="0.3">
      <c r="B134" s="225" t="s">
        <v>573</v>
      </c>
      <c r="C134" s="225"/>
      <c r="D134" s="225"/>
      <c r="E134" s="225"/>
      <c r="F134" s="225"/>
      <c r="G134" s="225"/>
      <c r="H134" s="225"/>
      <c r="I134" s="225"/>
      <c r="J134" s="225"/>
    </row>
    <row r="135" spans="2:10" ht="5.0999999999999996" customHeight="1" x14ac:dyDescent="0.3">
      <c r="B135" s="168"/>
    </row>
    <row r="136" spans="2:10" ht="15" customHeight="1" x14ac:dyDescent="0.3">
      <c r="B136" s="226" t="s">
        <v>574</v>
      </c>
      <c r="C136" s="226"/>
      <c r="D136" s="226"/>
      <c r="E136" s="226"/>
      <c r="F136" s="226"/>
      <c r="G136" s="226"/>
      <c r="H136" s="226"/>
      <c r="I136" s="226"/>
      <c r="J136" s="226"/>
    </row>
    <row r="137" spans="2:10" ht="15" customHeight="1" x14ac:dyDescent="0.3">
      <c r="B137" s="226" t="s">
        <v>575</v>
      </c>
      <c r="C137" s="226"/>
      <c r="D137" s="226"/>
      <c r="E137" s="226"/>
      <c r="F137" s="226"/>
      <c r="G137" s="226"/>
      <c r="H137" s="226"/>
      <c r="I137" s="226"/>
      <c r="J137" s="226"/>
    </row>
    <row r="138" spans="2:10" ht="15" customHeight="1" x14ac:dyDescent="0.3">
      <c r="B138" s="226" t="s">
        <v>576</v>
      </c>
      <c r="C138" s="226"/>
      <c r="D138" s="226"/>
      <c r="E138" s="226"/>
      <c r="F138" s="226"/>
      <c r="G138" s="226"/>
      <c r="H138" s="226"/>
      <c r="I138" s="226"/>
      <c r="J138" s="226"/>
    </row>
    <row r="139" spans="2:10" ht="30" customHeight="1" x14ac:dyDescent="0.3">
      <c r="B139" s="219" t="s">
        <v>577</v>
      </c>
      <c r="C139" s="219"/>
      <c r="D139" s="219"/>
      <c r="E139" s="219"/>
      <c r="F139" s="219"/>
      <c r="G139" s="219"/>
      <c r="H139" s="219"/>
      <c r="I139" s="219"/>
      <c r="J139" s="219"/>
    </row>
    <row r="140" spans="2:10" ht="15" customHeight="1" x14ac:dyDescent="0.3">
      <c r="B140" s="165"/>
    </row>
    <row r="141" spans="2:10" ht="20.100000000000001" customHeight="1" x14ac:dyDescent="0.3">
      <c r="B141" s="225" t="s">
        <v>578</v>
      </c>
      <c r="C141" s="225"/>
      <c r="D141" s="225"/>
      <c r="E141" s="225"/>
      <c r="F141" s="225"/>
      <c r="G141" s="225"/>
      <c r="H141" s="225"/>
      <c r="I141" s="225"/>
      <c r="J141" s="225"/>
    </row>
    <row r="142" spans="2:10" ht="5.0999999999999996" customHeight="1" x14ac:dyDescent="0.3">
      <c r="B142" s="168"/>
    </row>
    <row r="143" spans="2:10" ht="15" customHeight="1" x14ac:dyDescent="0.3">
      <c r="B143" s="226" t="s">
        <v>579</v>
      </c>
      <c r="C143" s="226"/>
      <c r="D143" s="226"/>
      <c r="E143" s="226"/>
      <c r="F143" s="226"/>
      <c r="G143" s="226"/>
      <c r="H143" s="226"/>
      <c r="I143" s="226"/>
      <c r="J143" s="226"/>
    </row>
    <row r="144" spans="2:10" ht="15" customHeight="1" x14ac:dyDescent="0.3">
      <c r="B144" s="226" t="s">
        <v>580</v>
      </c>
      <c r="C144" s="226"/>
      <c r="D144" s="226"/>
      <c r="E144" s="226"/>
      <c r="F144" s="226"/>
      <c r="G144" s="226"/>
      <c r="H144" s="226"/>
      <c r="I144" s="226"/>
      <c r="J144" s="226"/>
    </row>
    <row r="145" spans="2:10" ht="15" customHeight="1" x14ac:dyDescent="0.3">
      <c r="B145" s="226" t="s">
        <v>581</v>
      </c>
      <c r="C145" s="226"/>
      <c r="D145" s="226"/>
      <c r="E145" s="226"/>
      <c r="F145" s="226"/>
      <c r="G145" s="226"/>
      <c r="H145" s="226"/>
      <c r="I145" s="226"/>
      <c r="J145" s="226"/>
    </row>
    <row r="146" spans="2:10" ht="15" customHeight="1" x14ac:dyDescent="0.3">
      <c r="B146" s="165"/>
    </row>
    <row r="147" spans="2:10" ht="20.100000000000001" customHeight="1" x14ac:dyDescent="0.3">
      <c r="B147" s="225" t="s">
        <v>582</v>
      </c>
      <c r="C147" s="225"/>
      <c r="D147" s="225"/>
      <c r="E147" s="225"/>
      <c r="F147" s="225"/>
      <c r="G147" s="225"/>
      <c r="H147" s="225"/>
      <c r="I147" s="225"/>
      <c r="J147" s="225"/>
    </row>
    <row r="148" spans="2:10" ht="5.0999999999999996" customHeight="1" x14ac:dyDescent="0.3">
      <c r="B148" s="168"/>
    </row>
    <row r="149" spans="2:10" ht="15" customHeight="1" x14ac:dyDescent="0.3">
      <c r="B149" s="226" t="s">
        <v>583</v>
      </c>
      <c r="C149" s="226"/>
      <c r="D149" s="226"/>
      <c r="E149" s="226"/>
      <c r="F149" s="226"/>
      <c r="G149" s="226"/>
      <c r="H149" s="226"/>
      <c r="I149" s="226"/>
      <c r="J149" s="226"/>
    </row>
    <row r="150" spans="2:10" ht="15" customHeight="1" x14ac:dyDescent="0.3">
      <c r="B150" s="226" t="s">
        <v>584</v>
      </c>
      <c r="C150" s="226"/>
      <c r="D150" s="226"/>
      <c r="E150" s="226"/>
      <c r="F150" s="226"/>
      <c r="G150" s="226"/>
      <c r="H150" s="226"/>
      <c r="I150" s="226"/>
      <c r="J150" s="226"/>
    </row>
    <row r="151" spans="2:10" ht="15" customHeight="1" x14ac:dyDescent="0.3">
      <c r="B151" s="226" t="s">
        <v>585</v>
      </c>
      <c r="C151" s="226"/>
      <c r="D151" s="226"/>
      <c r="E151" s="226"/>
      <c r="F151" s="226"/>
      <c r="G151" s="226"/>
      <c r="H151" s="226"/>
      <c r="I151" s="226"/>
      <c r="J151" s="226"/>
    </row>
    <row r="152" spans="2:10" ht="15" customHeight="1" x14ac:dyDescent="0.3">
      <c r="B152" s="219" t="s">
        <v>586</v>
      </c>
      <c r="C152" s="219"/>
      <c r="D152" s="219"/>
      <c r="E152" s="219"/>
      <c r="F152" s="219"/>
      <c r="G152" s="219"/>
      <c r="H152" s="219"/>
      <c r="I152" s="219"/>
      <c r="J152" s="219"/>
    </row>
    <row r="153" spans="2:10" ht="15" customHeight="1" x14ac:dyDescent="0.3">
      <c r="B153" s="219" t="s">
        <v>587</v>
      </c>
      <c r="C153" s="219"/>
      <c r="D153" s="219"/>
      <c r="E153" s="219"/>
      <c r="F153" s="219"/>
      <c r="G153" s="219"/>
      <c r="H153" s="219"/>
      <c r="I153" s="219"/>
      <c r="J153" s="219"/>
    </row>
    <row r="154" spans="2:10" ht="15" customHeight="1" x14ac:dyDescent="0.3">
      <c r="B154" s="194"/>
      <c r="C154" s="194"/>
      <c r="D154" s="194"/>
      <c r="E154" s="194"/>
      <c r="F154" s="194"/>
      <c r="G154" s="194"/>
      <c r="H154" s="194"/>
      <c r="I154" s="194"/>
      <c r="J154" s="194"/>
    </row>
    <row r="155" spans="2:10" ht="20.100000000000001" customHeight="1" x14ac:dyDescent="0.3">
      <c r="B155" s="225" t="s">
        <v>592</v>
      </c>
      <c r="C155" s="225"/>
      <c r="D155" s="225"/>
      <c r="E155" s="225"/>
      <c r="F155" s="225"/>
      <c r="G155" s="225"/>
      <c r="H155" s="225"/>
      <c r="I155" s="225"/>
      <c r="J155" s="225"/>
    </row>
    <row r="156" spans="2:10" ht="5.0999999999999996" customHeight="1" x14ac:dyDescent="0.3">
      <c r="B156" s="168"/>
    </row>
    <row r="157" spans="2:10" ht="15" customHeight="1" x14ac:dyDescent="0.3">
      <c r="B157" s="226" t="s">
        <v>588</v>
      </c>
      <c r="C157" s="226"/>
      <c r="D157" s="226"/>
      <c r="E157" s="226"/>
      <c r="F157" s="226"/>
      <c r="G157" s="226"/>
      <c r="H157" s="226"/>
      <c r="I157" s="226"/>
      <c r="J157" s="226"/>
    </row>
    <row r="158" spans="2:10" ht="15" customHeight="1" x14ac:dyDescent="0.3">
      <c r="B158" s="226" t="s">
        <v>589</v>
      </c>
      <c r="C158" s="226"/>
      <c r="D158" s="226"/>
      <c r="E158" s="226"/>
      <c r="F158" s="226"/>
      <c r="G158" s="226"/>
      <c r="H158" s="226"/>
      <c r="I158" s="226"/>
      <c r="J158" s="226"/>
    </row>
    <row r="159" spans="2:10" ht="15" customHeight="1" x14ac:dyDescent="0.3">
      <c r="B159" s="219" t="s">
        <v>591</v>
      </c>
      <c r="C159" s="219"/>
      <c r="D159" s="219"/>
      <c r="E159" s="219"/>
      <c r="F159" s="219"/>
      <c r="G159" s="219"/>
      <c r="H159" s="219"/>
      <c r="I159" s="219"/>
      <c r="J159" s="219"/>
    </row>
    <row r="160" spans="2:10" ht="15" customHeight="1" x14ac:dyDescent="0.3">
      <c r="B160" s="219" t="s">
        <v>590</v>
      </c>
      <c r="C160" s="219"/>
      <c r="D160" s="219"/>
      <c r="E160" s="219"/>
      <c r="F160" s="219"/>
      <c r="G160" s="219"/>
      <c r="H160" s="219"/>
      <c r="I160" s="219"/>
      <c r="J160" s="219"/>
    </row>
    <row r="161" spans="2:12" ht="15" customHeight="1" x14ac:dyDescent="0.3">
      <c r="B161" s="219" t="s">
        <v>587</v>
      </c>
      <c r="C161" s="219"/>
      <c r="D161" s="219"/>
      <c r="E161" s="219"/>
      <c r="F161" s="219"/>
      <c r="G161" s="219"/>
      <c r="H161" s="219"/>
      <c r="I161" s="219"/>
      <c r="J161" s="219"/>
    </row>
    <row r="162" spans="2:12" ht="15" customHeight="1" x14ac:dyDescent="0.3">
      <c r="B162" s="194"/>
      <c r="C162" s="194"/>
      <c r="D162" s="194"/>
      <c r="E162" s="194"/>
      <c r="F162" s="194"/>
      <c r="G162" s="194"/>
      <c r="H162" s="194"/>
      <c r="I162" s="194"/>
      <c r="J162" s="194"/>
    </row>
    <row r="163" spans="2:12" ht="15" customHeight="1" x14ac:dyDescent="0.3">
      <c r="B163" s="194"/>
      <c r="C163" s="194"/>
      <c r="D163" s="194"/>
      <c r="E163" s="194"/>
      <c r="F163" s="194"/>
      <c r="G163" s="194"/>
      <c r="H163" s="194"/>
      <c r="I163" s="194"/>
      <c r="J163" s="194"/>
    </row>
    <row r="164" spans="2:12" ht="15" customHeight="1" x14ac:dyDescent="0.3">
      <c r="B164" s="194"/>
      <c r="C164" s="194"/>
      <c r="D164" s="194"/>
      <c r="E164" s="194"/>
      <c r="F164" s="194"/>
      <c r="G164" s="194"/>
      <c r="H164" s="194"/>
      <c r="I164" s="194"/>
      <c r="J164" s="194"/>
    </row>
    <row r="165" spans="2:12" ht="15" customHeight="1" x14ac:dyDescent="0.3">
      <c r="B165" s="194"/>
      <c r="C165" s="194"/>
      <c r="D165" s="194"/>
      <c r="E165" s="194"/>
      <c r="F165" s="194"/>
      <c r="G165" s="194"/>
      <c r="H165" s="194"/>
      <c r="I165" s="194"/>
      <c r="J165" s="194"/>
    </row>
    <row r="166" spans="2:12" ht="15" customHeight="1" x14ac:dyDescent="0.3">
      <c r="B166" s="194"/>
      <c r="C166" s="194"/>
      <c r="D166" s="194"/>
      <c r="E166" s="194"/>
      <c r="F166" s="194"/>
      <c r="G166" s="194"/>
      <c r="H166" s="194"/>
      <c r="I166" s="194"/>
      <c r="J166" s="194"/>
    </row>
    <row r="167" spans="2:12" ht="15" customHeight="1" x14ac:dyDescent="0.3">
      <c r="B167" s="194"/>
      <c r="C167" s="194"/>
      <c r="D167" s="194"/>
      <c r="E167" s="194"/>
      <c r="F167" s="194"/>
      <c r="G167" s="194"/>
      <c r="H167" s="194"/>
      <c r="I167" s="194"/>
      <c r="J167" s="194"/>
    </row>
    <row r="168" spans="2:12" ht="45" customHeight="1" x14ac:dyDescent="0.3">
      <c r="B168" s="220" t="s">
        <v>472</v>
      </c>
      <c r="C168" s="220"/>
      <c r="D168" s="220"/>
      <c r="E168" s="220"/>
      <c r="F168" s="220"/>
      <c r="G168" s="220"/>
      <c r="H168" s="220"/>
      <c r="I168" s="220"/>
      <c r="J168" s="220"/>
      <c r="L168" s="197"/>
    </row>
    <row r="169" spans="2:12" ht="9.75" customHeight="1" x14ac:dyDescent="0.3">
      <c r="B169" s="168"/>
    </row>
    <row r="170" spans="2:12" x14ac:dyDescent="0.3">
      <c r="B170" s="222" t="s">
        <v>474</v>
      </c>
      <c r="C170" s="222"/>
      <c r="D170" s="222"/>
      <c r="E170" s="222"/>
      <c r="F170" s="222"/>
      <c r="G170" s="222"/>
      <c r="H170" s="222"/>
      <c r="I170" s="222"/>
      <c r="J170" s="222"/>
    </row>
    <row r="171" spans="2:12" ht="5.0999999999999996" customHeight="1" x14ac:dyDescent="0.3">
      <c r="B171" s="176"/>
      <c r="C171" s="176"/>
      <c r="D171" s="176"/>
      <c r="E171" s="176"/>
      <c r="F171" s="176"/>
      <c r="G171" s="176"/>
      <c r="H171" s="176"/>
      <c r="I171" s="176"/>
      <c r="J171" s="176"/>
    </row>
    <row r="172" spans="2:12" ht="60" customHeight="1" x14ac:dyDescent="0.3">
      <c r="B172" s="219" t="s">
        <v>473</v>
      </c>
      <c r="C172" s="219"/>
      <c r="D172" s="219"/>
      <c r="E172" s="219"/>
      <c r="F172" s="219"/>
      <c r="G172" s="219"/>
      <c r="H172" s="219"/>
      <c r="I172" s="219"/>
      <c r="J172" s="219"/>
    </row>
    <row r="173" spans="2:12" ht="15" customHeight="1" x14ac:dyDescent="0.3">
      <c r="B173" s="194"/>
      <c r="C173" s="194"/>
      <c r="D173" s="194"/>
      <c r="E173" s="194"/>
      <c r="F173" s="194"/>
      <c r="G173" s="194"/>
      <c r="H173" s="194"/>
      <c r="I173" s="194"/>
      <c r="J173" s="194"/>
    </row>
    <row r="174" spans="2:12" ht="15" customHeight="1" x14ac:dyDescent="0.3">
      <c r="B174" s="232" t="s">
        <v>374</v>
      </c>
      <c r="C174" s="232"/>
      <c r="D174" s="232"/>
      <c r="E174" s="232"/>
      <c r="F174" s="232"/>
      <c r="G174" s="232"/>
      <c r="H174" s="232"/>
      <c r="I174" s="232"/>
      <c r="J174" s="232"/>
    </row>
    <row r="175" spans="2:12" ht="5.0999999999999996" customHeight="1" x14ac:dyDescent="0.3">
      <c r="B175" s="221"/>
      <c r="C175" s="221"/>
      <c r="D175" s="221"/>
      <c r="E175" s="221"/>
      <c r="F175" s="221"/>
      <c r="G175" s="221"/>
    </row>
    <row r="176" spans="2:12" ht="31.5" customHeight="1" x14ac:dyDescent="0.3">
      <c r="B176" s="219" t="s">
        <v>383</v>
      </c>
      <c r="C176" s="219"/>
      <c r="D176" s="219"/>
      <c r="E176" s="219"/>
      <c r="F176" s="219"/>
      <c r="G176" s="219"/>
      <c r="H176" s="219"/>
      <c r="I176" s="219"/>
      <c r="J176" s="219"/>
    </row>
    <row r="177" spans="2:10" ht="20.100000000000001" customHeight="1" x14ac:dyDescent="0.3">
      <c r="B177" s="219" t="s">
        <v>382</v>
      </c>
      <c r="C177" s="219"/>
      <c r="D177" s="219"/>
      <c r="E177" s="219"/>
      <c r="F177" s="219"/>
      <c r="G177" s="219"/>
      <c r="H177" s="219"/>
      <c r="I177" s="219"/>
      <c r="J177" s="219"/>
    </row>
    <row r="178" spans="2:10" ht="30" customHeight="1" x14ac:dyDescent="0.3">
      <c r="B178" s="219" t="s">
        <v>384</v>
      </c>
      <c r="C178" s="219"/>
      <c r="D178" s="219"/>
      <c r="E178" s="219"/>
      <c r="F178" s="219"/>
      <c r="G178" s="219"/>
      <c r="H178" s="219"/>
      <c r="I178" s="219"/>
      <c r="J178" s="219"/>
    </row>
    <row r="179" spans="2:10" ht="20.100000000000001" customHeight="1" x14ac:dyDescent="0.3">
      <c r="B179" s="219" t="s">
        <v>385</v>
      </c>
      <c r="C179" s="219"/>
      <c r="D179" s="219"/>
      <c r="E179" s="219"/>
      <c r="F179" s="219"/>
      <c r="G179" s="219"/>
      <c r="H179" s="219"/>
      <c r="I179" s="219"/>
      <c r="J179" s="219"/>
    </row>
    <row r="180" spans="2:10" x14ac:dyDescent="0.3">
      <c r="B180" s="224"/>
      <c r="C180" s="224"/>
      <c r="D180" s="224"/>
      <c r="E180" s="224"/>
      <c r="F180" s="224"/>
      <c r="G180" s="224"/>
    </row>
    <row r="181" spans="2:10" ht="15" customHeight="1" x14ac:dyDescent="0.3">
      <c r="B181" s="232" t="s">
        <v>375</v>
      </c>
      <c r="C181" s="232"/>
      <c r="D181" s="232"/>
      <c r="E181" s="232"/>
      <c r="F181" s="232"/>
      <c r="G181" s="232"/>
      <c r="H181" s="232"/>
      <c r="I181" s="232"/>
      <c r="J181" s="232"/>
    </row>
    <row r="182" spans="2:10" ht="5.0999999999999996" customHeight="1" x14ac:dyDescent="0.3">
      <c r="B182" s="236"/>
      <c r="C182" s="236"/>
      <c r="D182" s="236"/>
      <c r="E182" s="236"/>
      <c r="F182" s="236"/>
      <c r="G182" s="236"/>
    </row>
    <row r="183" spans="2:10" ht="30" customHeight="1" x14ac:dyDescent="0.3">
      <c r="B183" s="219" t="s">
        <v>386</v>
      </c>
      <c r="C183" s="219"/>
      <c r="D183" s="219"/>
      <c r="E183" s="219"/>
      <c r="F183" s="219"/>
      <c r="G183" s="219"/>
      <c r="H183" s="219"/>
      <c r="I183" s="219"/>
      <c r="J183" s="219"/>
    </row>
    <row r="184" spans="2:10" ht="30" customHeight="1" x14ac:dyDescent="0.3">
      <c r="B184" s="219" t="s">
        <v>387</v>
      </c>
      <c r="C184" s="219"/>
      <c r="D184" s="219"/>
      <c r="E184" s="219"/>
      <c r="F184" s="219"/>
      <c r="G184" s="219"/>
      <c r="H184" s="219"/>
      <c r="I184" s="219"/>
      <c r="J184" s="219"/>
    </row>
    <row r="185" spans="2:10" ht="15" customHeight="1" x14ac:dyDescent="0.3">
      <c r="B185" s="231" t="s">
        <v>366</v>
      </c>
      <c r="C185" s="231"/>
      <c r="D185" s="231"/>
      <c r="E185" s="231"/>
      <c r="F185" s="231"/>
      <c r="G185" s="231"/>
    </row>
    <row r="186" spans="2:10" ht="15" customHeight="1" x14ac:dyDescent="0.3">
      <c r="B186" s="232" t="s">
        <v>376</v>
      </c>
      <c r="C186" s="232"/>
      <c r="D186" s="232"/>
      <c r="E186" s="232"/>
      <c r="F186" s="232"/>
      <c r="G186" s="232"/>
      <c r="H186" s="232"/>
      <c r="I186" s="232"/>
      <c r="J186" s="232"/>
    </row>
    <row r="187" spans="2:10" ht="5.0999999999999996" customHeight="1" x14ac:dyDescent="0.3">
      <c r="B187" s="231"/>
      <c r="C187" s="231"/>
      <c r="D187" s="231"/>
      <c r="E187" s="231"/>
      <c r="F187" s="231"/>
      <c r="G187" s="231"/>
    </row>
    <row r="188" spans="2:10" ht="30" customHeight="1" x14ac:dyDescent="0.3">
      <c r="B188" s="219" t="s">
        <v>377</v>
      </c>
      <c r="C188" s="219"/>
      <c r="D188" s="219"/>
      <c r="E188" s="219"/>
      <c r="F188" s="219"/>
      <c r="G188" s="219"/>
      <c r="H188" s="219"/>
      <c r="I188" s="219"/>
      <c r="J188" s="219"/>
    </row>
    <row r="189" spans="2:10" ht="30" customHeight="1" x14ac:dyDescent="0.3">
      <c r="B189" s="219" t="s">
        <v>378</v>
      </c>
      <c r="C189" s="219"/>
      <c r="D189" s="219"/>
      <c r="E189" s="219"/>
      <c r="F189" s="219"/>
      <c r="G189" s="219"/>
      <c r="H189" s="219"/>
      <c r="I189" s="219"/>
      <c r="J189" s="219"/>
    </row>
    <row r="190" spans="2:10" ht="30" customHeight="1" x14ac:dyDescent="0.3">
      <c r="B190" s="219" t="s">
        <v>388</v>
      </c>
      <c r="C190" s="219"/>
      <c r="D190" s="219"/>
      <c r="E190" s="219"/>
      <c r="F190" s="219"/>
      <c r="G190" s="219"/>
      <c r="H190" s="219"/>
      <c r="I190" s="219"/>
      <c r="J190" s="219"/>
    </row>
    <row r="191" spans="2:10" ht="15" customHeight="1" x14ac:dyDescent="0.3">
      <c r="B191" s="219" t="s">
        <v>389</v>
      </c>
      <c r="C191" s="219"/>
      <c r="D191" s="219"/>
      <c r="E191" s="219"/>
      <c r="F191" s="219"/>
      <c r="G191" s="219"/>
      <c r="H191" s="219"/>
      <c r="I191" s="219"/>
      <c r="J191" s="219"/>
    </row>
    <row r="192" spans="2:10" ht="30" customHeight="1" x14ac:dyDescent="0.3">
      <c r="B192" s="219" t="s">
        <v>390</v>
      </c>
      <c r="C192" s="219"/>
      <c r="D192" s="219"/>
      <c r="E192" s="219"/>
      <c r="F192" s="219"/>
      <c r="G192" s="219"/>
      <c r="H192" s="219"/>
      <c r="I192" s="219"/>
      <c r="J192" s="219"/>
    </row>
    <row r="193" spans="2:12" ht="62.25" customHeight="1" x14ac:dyDescent="0.3">
      <c r="B193" s="219" t="s">
        <v>391</v>
      </c>
      <c r="C193" s="219"/>
      <c r="D193" s="219"/>
      <c r="E193" s="219"/>
      <c r="F193" s="219"/>
      <c r="G193" s="219"/>
      <c r="H193" s="219"/>
      <c r="I193" s="219"/>
      <c r="J193" s="219"/>
    </row>
    <row r="194" spans="2:12" ht="5.0999999999999996" customHeight="1" x14ac:dyDescent="0.3">
      <c r="B194" s="227"/>
      <c r="C194" s="227"/>
      <c r="D194" s="227"/>
      <c r="E194" s="227"/>
      <c r="F194" s="227"/>
      <c r="G194" s="227"/>
    </row>
    <row r="195" spans="2:12" s="180" customFormat="1" ht="36" customHeight="1" x14ac:dyDescent="0.3">
      <c r="B195" s="178" t="s">
        <v>57</v>
      </c>
      <c r="C195" s="229" t="s">
        <v>58</v>
      </c>
      <c r="D195" s="229"/>
      <c r="E195" s="229"/>
      <c r="F195" s="178" t="s">
        <v>349</v>
      </c>
      <c r="G195" s="178" t="s">
        <v>350</v>
      </c>
      <c r="H195" s="179" t="s">
        <v>368</v>
      </c>
      <c r="I195" s="229" t="s">
        <v>65</v>
      </c>
      <c r="J195" s="229"/>
    </row>
    <row r="196" spans="2:12" s="180" customFormat="1" ht="30" customHeight="1" x14ac:dyDescent="0.3">
      <c r="B196" s="181" t="s">
        <v>223</v>
      </c>
      <c r="C196" s="230" t="s">
        <v>224</v>
      </c>
      <c r="D196" s="230"/>
      <c r="E196" s="230"/>
      <c r="F196" s="181">
        <v>6174</v>
      </c>
      <c r="G196" s="181">
        <v>4704</v>
      </c>
      <c r="H196" s="181" t="s">
        <v>351</v>
      </c>
      <c r="I196" s="230" t="s">
        <v>352</v>
      </c>
      <c r="J196" s="230"/>
    </row>
    <row r="197" spans="2:12" s="180" customFormat="1" ht="30" customHeight="1" x14ac:dyDescent="0.3">
      <c r="B197" s="181" t="s">
        <v>254</v>
      </c>
      <c r="C197" s="230" t="s">
        <v>255</v>
      </c>
      <c r="D197" s="230"/>
      <c r="E197" s="230"/>
      <c r="F197" s="181">
        <v>16832.169999999998</v>
      </c>
      <c r="G197" s="181">
        <v>14559.65</v>
      </c>
      <c r="H197" s="181" t="s">
        <v>351</v>
      </c>
      <c r="I197" s="230" t="s">
        <v>352</v>
      </c>
      <c r="J197" s="230"/>
    </row>
    <row r="198" spans="2:12" ht="7.5" customHeight="1" x14ac:dyDescent="0.3">
      <c r="B198" s="228" t="s">
        <v>353</v>
      </c>
      <c r="C198" s="228"/>
      <c r="D198" s="228"/>
      <c r="E198" s="228"/>
      <c r="F198" s="228"/>
      <c r="G198" s="228"/>
    </row>
    <row r="199" spans="2:12" ht="15" customHeight="1" x14ac:dyDescent="0.3">
      <c r="B199" s="219" t="s">
        <v>392</v>
      </c>
      <c r="C199" s="219"/>
      <c r="D199" s="219"/>
      <c r="E199" s="219"/>
      <c r="F199" s="219"/>
      <c r="G199" s="219"/>
      <c r="H199" s="219"/>
      <c r="I199" s="219"/>
      <c r="J199" s="219"/>
    </row>
    <row r="200" spans="2:12" ht="45" customHeight="1" x14ac:dyDescent="0.3">
      <c r="B200" s="220" t="s">
        <v>472</v>
      </c>
      <c r="C200" s="220"/>
      <c r="D200" s="220"/>
      <c r="E200" s="220"/>
      <c r="F200" s="220"/>
      <c r="G200" s="220"/>
      <c r="H200" s="220"/>
      <c r="I200" s="220"/>
      <c r="J200" s="220"/>
      <c r="L200" s="197"/>
    </row>
    <row r="201" spans="2:12" ht="5.0999999999999996" customHeight="1" x14ac:dyDescent="0.3">
      <c r="B201" s="221" t="s">
        <v>353</v>
      </c>
      <c r="C201" s="221"/>
      <c r="D201" s="221"/>
      <c r="E201" s="221"/>
      <c r="F201" s="221"/>
      <c r="G201" s="221"/>
    </row>
    <row r="202" spans="2:12" ht="15" customHeight="1" x14ac:dyDescent="0.3">
      <c r="B202" s="234" t="s">
        <v>379</v>
      </c>
      <c r="C202" s="234"/>
      <c r="D202" s="234"/>
      <c r="E202" s="234"/>
      <c r="F202" s="234"/>
      <c r="G202" s="234"/>
      <c r="H202" s="234"/>
      <c r="I202" s="234"/>
      <c r="J202" s="234"/>
    </row>
    <row r="203" spans="2:12" ht="30" customHeight="1" x14ac:dyDescent="0.3">
      <c r="B203" s="219" t="s">
        <v>393</v>
      </c>
      <c r="C203" s="219"/>
      <c r="D203" s="219"/>
      <c r="E203" s="219"/>
      <c r="F203" s="219"/>
      <c r="G203" s="219"/>
      <c r="H203" s="219"/>
      <c r="I203" s="219"/>
      <c r="J203" s="219"/>
    </row>
    <row r="204" spans="2:12" ht="31.5" customHeight="1" x14ac:dyDescent="0.3">
      <c r="B204" s="219" t="s">
        <v>394</v>
      </c>
      <c r="C204" s="219"/>
      <c r="D204" s="219"/>
      <c r="E204" s="219"/>
      <c r="F204" s="219"/>
      <c r="G204" s="219"/>
      <c r="H204" s="219"/>
      <c r="I204" s="219"/>
      <c r="J204" s="219"/>
    </row>
    <row r="205" spans="2:12" ht="30" customHeight="1" x14ac:dyDescent="0.3">
      <c r="B205" s="219" t="s">
        <v>428</v>
      </c>
      <c r="C205" s="219"/>
      <c r="D205" s="219"/>
      <c r="E205" s="219"/>
      <c r="F205" s="219"/>
      <c r="G205" s="219"/>
      <c r="H205" s="219"/>
      <c r="I205" s="219"/>
      <c r="J205" s="219"/>
    </row>
    <row r="206" spans="2:12" x14ac:dyDescent="0.3">
      <c r="B206" s="160" t="s">
        <v>367</v>
      </c>
      <c r="C206" s="160"/>
      <c r="D206" s="160"/>
      <c r="E206" s="160"/>
      <c r="F206" s="160"/>
      <c r="G206" s="160"/>
    </row>
    <row r="207" spans="2:12" ht="30" customHeight="1" x14ac:dyDescent="0.3">
      <c r="B207" s="237" t="s">
        <v>354</v>
      </c>
      <c r="C207" s="237"/>
      <c r="D207" s="237"/>
      <c r="E207" s="237"/>
      <c r="F207" s="237" t="s">
        <v>369</v>
      </c>
      <c r="G207" s="237"/>
      <c r="H207" s="237"/>
      <c r="I207" s="237"/>
      <c r="J207" s="173" t="s">
        <v>81</v>
      </c>
    </row>
    <row r="208" spans="2:12" ht="20.100000000000001" customHeight="1" x14ac:dyDescent="0.3">
      <c r="B208" s="238">
        <v>0</v>
      </c>
      <c r="C208" s="238"/>
      <c r="D208" s="238"/>
      <c r="E208" s="238"/>
      <c r="F208" s="238">
        <v>76610</v>
      </c>
      <c r="G208" s="238"/>
      <c r="H208" s="238"/>
      <c r="I208" s="238"/>
      <c r="J208" s="162">
        <v>76610</v>
      </c>
    </row>
    <row r="209" spans="2:10" x14ac:dyDescent="0.3">
      <c r="B209" s="231" t="s">
        <v>355</v>
      </c>
      <c r="C209" s="231"/>
      <c r="D209" s="231"/>
      <c r="E209" s="231"/>
      <c r="F209" s="231"/>
      <c r="G209" s="231"/>
    </row>
    <row r="210" spans="2:10" ht="30" customHeight="1" x14ac:dyDescent="0.3">
      <c r="B210" s="219" t="s">
        <v>395</v>
      </c>
      <c r="C210" s="219"/>
      <c r="D210" s="219"/>
      <c r="E210" s="219"/>
      <c r="F210" s="219"/>
      <c r="G210" s="219"/>
      <c r="H210" s="219"/>
      <c r="I210" s="219"/>
      <c r="J210" s="219"/>
    </row>
    <row r="211" spans="2:10" ht="15" customHeight="1" x14ac:dyDescent="0.3">
      <c r="B211" s="231" t="s">
        <v>370</v>
      </c>
      <c r="C211" s="231"/>
      <c r="D211" s="231"/>
      <c r="E211" s="231"/>
      <c r="F211" s="231"/>
      <c r="G211" s="231"/>
    </row>
    <row r="212" spans="2:10" ht="30" customHeight="1" x14ac:dyDescent="0.3">
      <c r="B212" s="235" t="s">
        <v>396</v>
      </c>
      <c r="C212" s="235"/>
      <c r="D212" s="235"/>
      <c r="E212" s="235"/>
      <c r="F212" s="235"/>
      <c r="G212" s="235"/>
      <c r="H212" s="235"/>
      <c r="I212" s="235"/>
      <c r="J212" s="235"/>
    </row>
    <row r="213" spans="2:10" ht="30" customHeight="1" x14ac:dyDescent="0.3">
      <c r="B213" s="219" t="s">
        <v>397</v>
      </c>
      <c r="C213" s="219"/>
      <c r="D213" s="219"/>
      <c r="E213" s="219"/>
      <c r="F213" s="219"/>
      <c r="G213" s="219"/>
      <c r="H213" s="219"/>
      <c r="I213" s="219"/>
      <c r="J213" s="219"/>
    </row>
    <row r="214" spans="2:10" ht="45" customHeight="1" x14ac:dyDescent="0.3">
      <c r="B214" s="219" t="s">
        <v>398</v>
      </c>
      <c r="C214" s="219"/>
      <c r="D214" s="219"/>
      <c r="E214" s="219"/>
      <c r="F214" s="219"/>
      <c r="G214" s="219"/>
      <c r="H214" s="219"/>
      <c r="I214" s="219"/>
      <c r="J214" s="219"/>
    </row>
    <row r="215" spans="2:10" ht="15" customHeight="1" x14ac:dyDescent="0.3">
      <c r="B215" s="231" t="s">
        <v>367</v>
      </c>
      <c r="C215" s="231"/>
      <c r="D215" s="231"/>
      <c r="E215" s="231"/>
      <c r="F215" s="231"/>
      <c r="G215" s="231"/>
    </row>
    <row r="216" spans="2:10" ht="15" customHeight="1" x14ac:dyDescent="0.3">
      <c r="B216" s="235" t="s">
        <v>399</v>
      </c>
      <c r="C216" s="235"/>
      <c r="D216" s="235"/>
      <c r="E216" s="235"/>
      <c r="F216" s="235"/>
      <c r="G216" s="235"/>
      <c r="H216" s="235"/>
      <c r="I216" s="235"/>
      <c r="J216" s="235"/>
    </row>
    <row r="217" spans="2:10" ht="30" customHeight="1" x14ac:dyDescent="0.3">
      <c r="B217" s="219" t="s">
        <v>400</v>
      </c>
      <c r="C217" s="219"/>
      <c r="D217" s="219"/>
      <c r="E217" s="219"/>
      <c r="F217" s="219"/>
      <c r="G217" s="219"/>
      <c r="H217" s="219"/>
      <c r="I217" s="219"/>
      <c r="J217" s="219"/>
    </row>
    <row r="218" spans="2:10" ht="30" customHeight="1" x14ac:dyDescent="0.3">
      <c r="B218" s="219" t="s">
        <v>401</v>
      </c>
      <c r="C218" s="219"/>
      <c r="D218" s="219"/>
      <c r="E218" s="219"/>
      <c r="F218" s="219"/>
      <c r="G218" s="219"/>
      <c r="H218" s="219"/>
      <c r="I218" s="219"/>
      <c r="J218" s="219"/>
    </row>
    <row r="219" spans="2:10" ht="30" customHeight="1" x14ac:dyDescent="0.3">
      <c r="B219" s="219" t="s">
        <v>402</v>
      </c>
      <c r="C219" s="219"/>
      <c r="D219" s="219"/>
      <c r="E219" s="219"/>
      <c r="F219" s="219"/>
      <c r="G219" s="219"/>
      <c r="H219" s="219"/>
      <c r="I219" s="219"/>
      <c r="J219" s="219"/>
    </row>
    <row r="220" spans="2:10" ht="15" customHeight="1" x14ac:dyDescent="0.3">
      <c r="B220" s="174"/>
      <c r="C220" s="174"/>
      <c r="D220" s="174"/>
      <c r="E220" s="174"/>
      <c r="F220" s="174"/>
      <c r="G220" s="174"/>
    </row>
    <row r="221" spans="2:10" ht="15" customHeight="1" x14ac:dyDescent="0.3">
      <c r="B221" s="234" t="s">
        <v>372</v>
      </c>
      <c r="C221" s="234"/>
      <c r="D221" s="234"/>
      <c r="E221" s="234"/>
      <c r="F221" s="234"/>
      <c r="G221" s="234"/>
      <c r="H221" s="234"/>
      <c r="I221" s="234"/>
      <c r="J221" s="234"/>
    </row>
    <row r="222" spans="2:10" ht="20.100000000000001" customHeight="1" x14ac:dyDescent="0.3">
      <c r="B222" s="219" t="s">
        <v>403</v>
      </c>
      <c r="C222" s="219"/>
      <c r="D222" s="219"/>
      <c r="E222" s="219"/>
      <c r="F222" s="219"/>
      <c r="G222" s="219"/>
      <c r="H222" s="219"/>
      <c r="I222" s="219"/>
      <c r="J222" s="219"/>
    </row>
    <row r="223" spans="2:10" ht="15" customHeight="1" x14ac:dyDescent="0.3">
      <c r="B223" s="177"/>
      <c r="C223" s="177"/>
      <c r="D223" s="177"/>
      <c r="E223" s="177"/>
      <c r="F223" s="177"/>
      <c r="G223" s="177"/>
      <c r="H223" s="177"/>
      <c r="I223" s="177"/>
      <c r="J223" s="177"/>
    </row>
    <row r="224" spans="2:10" ht="15" customHeight="1" x14ac:dyDescent="0.3">
      <c r="B224" s="234" t="s">
        <v>373</v>
      </c>
      <c r="C224" s="234"/>
      <c r="D224" s="234"/>
      <c r="E224" s="234"/>
      <c r="F224" s="234"/>
      <c r="G224" s="234"/>
      <c r="H224" s="234"/>
      <c r="I224" s="234"/>
      <c r="J224" s="234"/>
    </row>
    <row r="225" spans="2:12" ht="20.100000000000001" customHeight="1" x14ac:dyDescent="0.3">
      <c r="B225" s="219" t="s">
        <v>404</v>
      </c>
      <c r="C225" s="219"/>
      <c r="D225" s="219"/>
      <c r="E225" s="219"/>
      <c r="F225" s="219"/>
      <c r="G225" s="219"/>
      <c r="H225" s="219"/>
      <c r="I225" s="219"/>
      <c r="J225" s="219"/>
    </row>
    <row r="226" spans="2:12" ht="15" customHeight="1" x14ac:dyDescent="0.3">
      <c r="B226" s="231"/>
      <c r="C226" s="231"/>
      <c r="D226" s="231"/>
      <c r="E226" s="231"/>
      <c r="F226" s="231"/>
      <c r="G226" s="231"/>
    </row>
    <row r="227" spans="2:12" ht="15" customHeight="1" x14ac:dyDescent="0.3">
      <c r="B227" s="234" t="s">
        <v>429</v>
      </c>
      <c r="C227" s="234"/>
      <c r="D227" s="234"/>
      <c r="E227" s="234"/>
      <c r="F227" s="234"/>
      <c r="G227" s="234"/>
      <c r="H227" s="234"/>
      <c r="I227" s="234"/>
      <c r="J227" s="234"/>
    </row>
    <row r="228" spans="2:12" ht="20.100000000000001" customHeight="1" x14ac:dyDescent="0.3">
      <c r="B228" s="219" t="s">
        <v>405</v>
      </c>
      <c r="C228" s="219"/>
      <c r="D228" s="219"/>
      <c r="E228" s="219"/>
      <c r="F228" s="219"/>
      <c r="G228" s="219"/>
      <c r="H228" s="219"/>
      <c r="I228" s="219"/>
      <c r="J228" s="219"/>
    </row>
    <row r="229" spans="2:12" ht="30" customHeight="1" x14ac:dyDescent="0.3">
      <c r="B229" s="240" t="s">
        <v>427</v>
      </c>
      <c r="C229" s="240"/>
      <c r="D229" s="240"/>
      <c r="E229" s="240"/>
      <c r="F229" s="240"/>
      <c r="G229" s="240"/>
      <c r="H229" s="240"/>
      <c r="I229" s="240"/>
      <c r="J229" s="240"/>
    </row>
    <row r="230" spans="2:12" ht="30" customHeight="1" x14ac:dyDescent="0.3">
      <c r="B230" s="177"/>
      <c r="C230" s="177"/>
      <c r="D230" s="177"/>
      <c r="E230" s="177"/>
      <c r="F230" s="177"/>
      <c r="G230" s="177"/>
      <c r="H230" s="177"/>
      <c r="I230" s="177"/>
      <c r="J230" s="177"/>
    </row>
    <row r="231" spans="2:12" ht="45" customHeight="1" x14ac:dyDescent="0.3">
      <c r="B231" s="220" t="s">
        <v>472</v>
      </c>
      <c r="C231" s="220"/>
      <c r="D231" s="220"/>
      <c r="E231" s="220"/>
      <c r="F231" s="220"/>
      <c r="G231" s="220"/>
      <c r="H231" s="220"/>
      <c r="I231" s="220"/>
      <c r="J231" s="220"/>
      <c r="L231" s="197"/>
    </row>
    <row r="232" spans="2:12" ht="4.5" customHeight="1" x14ac:dyDescent="0.3">
      <c r="B232" s="231" t="s">
        <v>371</v>
      </c>
      <c r="C232" s="231"/>
      <c r="D232" s="231"/>
      <c r="E232" s="231"/>
      <c r="F232" s="231"/>
      <c r="G232" s="231"/>
    </row>
    <row r="233" spans="2:12" x14ac:dyDescent="0.3">
      <c r="B233" s="234" t="s">
        <v>380</v>
      </c>
      <c r="C233" s="234"/>
      <c r="D233" s="234"/>
      <c r="E233" s="234"/>
      <c r="F233" s="234"/>
      <c r="G233" s="234"/>
      <c r="H233" s="234"/>
      <c r="I233" s="234"/>
      <c r="J233" s="234"/>
    </row>
    <row r="234" spans="2:12" ht="30" customHeight="1" x14ac:dyDescent="0.3">
      <c r="B234" s="219" t="s">
        <v>406</v>
      </c>
      <c r="C234" s="219"/>
      <c r="D234" s="219"/>
      <c r="E234" s="219"/>
      <c r="F234" s="219"/>
      <c r="G234" s="219"/>
      <c r="H234" s="219"/>
      <c r="I234" s="219"/>
      <c r="J234" s="219"/>
    </row>
    <row r="235" spans="2:12" ht="30" customHeight="1" x14ac:dyDescent="0.3">
      <c r="B235" s="219" t="s">
        <v>407</v>
      </c>
      <c r="C235" s="219"/>
      <c r="D235" s="219"/>
      <c r="E235" s="219"/>
      <c r="F235" s="219"/>
      <c r="G235" s="219"/>
      <c r="H235" s="219"/>
      <c r="I235" s="219"/>
      <c r="J235" s="219"/>
    </row>
    <row r="236" spans="2:12" ht="30" customHeight="1" x14ac:dyDescent="0.3">
      <c r="B236" s="219" t="s">
        <v>408</v>
      </c>
      <c r="C236" s="219"/>
      <c r="D236" s="219"/>
      <c r="E236" s="219"/>
      <c r="F236" s="219"/>
      <c r="G236" s="219"/>
      <c r="H236" s="219"/>
      <c r="I236" s="219"/>
      <c r="J236" s="219"/>
    </row>
    <row r="237" spans="2:12" ht="30" customHeight="1" x14ac:dyDescent="0.3">
      <c r="B237" s="219" t="s">
        <v>409</v>
      </c>
      <c r="C237" s="219"/>
      <c r="D237" s="219"/>
      <c r="E237" s="219"/>
      <c r="F237" s="219"/>
      <c r="G237" s="219"/>
      <c r="H237" s="219"/>
      <c r="I237" s="219"/>
      <c r="J237" s="219"/>
    </row>
    <row r="238" spans="2:12" ht="15" customHeight="1" x14ac:dyDescent="0.3">
      <c r="B238" s="161" t="s">
        <v>371</v>
      </c>
    </row>
    <row r="239" spans="2:12" x14ac:dyDescent="0.3">
      <c r="B239" s="222" t="s">
        <v>475</v>
      </c>
      <c r="C239" s="222"/>
      <c r="D239" s="222"/>
      <c r="E239" s="222"/>
      <c r="F239" s="222"/>
      <c r="G239" s="222"/>
      <c r="H239" s="222"/>
      <c r="I239" s="222"/>
      <c r="J239" s="222"/>
    </row>
    <row r="240" spans="2:12" ht="44.25" customHeight="1" x14ac:dyDescent="0.3">
      <c r="B240" s="219" t="s">
        <v>476</v>
      </c>
      <c r="C240" s="219"/>
      <c r="D240" s="219"/>
      <c r="E240" s="219"/>
      <c r="F240" s="219"/>
      <c r="G240" s="219"/>
      <c r="H240" s="219"/>
      <c r="I240" s="219"/>
      <c r="J240" s="219"/>
    </row>
    <row r="241" spans="2:10" ht="5.0999999999999996" customHeight="1" x14ac:dyDescent="0.3">
      <c r="B241" s="194"/>
      <c r="C241" s="194"/>
      <c r="D241" s="194"/>
      <c r="E241" s="194"/>
      <c r="F241" s="194"/>
      <c r="G241" s="194"/>
      <c r="H241" s="194"/>
      <c r="I241" s="194"/>
      <c r="J241" s="194"/>
    </row>
    <row r="242" spans="2:10" ht="30" customHeight="1" x14ac:dyDescent="0.3">
      <c r="B242" s="219" t="s">
        <v>356</v>
      </c>
      <c r="C242" s="219"/>
      <c r="D242" s="219"/>
      <c r="E242" s="219"/>
      <c r="F242" s="219"/>
      <c r="G242" s="219"/>
      <c r="H242" s="219"/>
      <c r="I242" s="219"/>
      <c r="J242" s="219"/>
    </row>
    <row r="243" spans="2:10" ht="3.75" customHeight="1" x14ac:dyDescent="0.3">
      <c r="B243" s="165"/>
    </row>
    <row r="244" spans="2:10" ht="45" customHeight="1" x14ac:dyDescent="0.3">
      <c r="B244" s="219" t="s">
        <v>357</v>
      </c>
      <c r="C244" s="219"/>
      <c r="D244" s="219"/>
      <c r="E244" s="219"/>
      <c r="F244" s="219"/>
      <c r="G244" s="219"/>
      <c r="H244" s="219"/>
      <c r="I244" s="219"/>
      <c r="J244" s="219"/>
    </row>
    <row r="245" spans="2:10" ht="3.75" customHeight="1" x14ac:dyDescent="0.3">
      <c r="B245" s="165"/>
    </row>
    <row r="246" spans="2:10" ht="60" customHeight="1" x14ac:dyDescent="0.3">
      <c r="B246" s="219" t="s">
        <v>358</v>
      </c>
      <c r="C246" s="219"/>
      <c r="D246" s="219"/>
      <c r="E246" s="219"/>
      <c r="F246" s="219"/>
      <c r="G246" s="219"/>
      <c r="H246" s="219"/>
      <c r="I246" s="219"/>
      <c r="J246" s="219"/>
    </row>
    <row r="247" spans="2:10" ht="3.75" customHeight="1" x14ac:dyDescent="0.3">
      <c r="B247" s="165"/>
    </row>
    <row r="248" spans="2:10" ht="60.75" customHeight="1" x14ac:dyDescent="0.3">
      <c r="B248" s="219" t="s">
        <v>359</v>
      </c>
      <c r="C248" s="219"/>
      <c r="D248" s="219"/>
      <c r="E248" s="219"/>
      <c r="F248" s="219"/>
      <c r="G248" s="219"/>
      <c r="H248" s="219"/>
      <c r="I248" s="219"/>
      <c r="J248" s="219"/>
    </row>
    <row r="249" spans="2:10" x14ac:dyDescent="0.3">
      <c r="B249" s="165"/>
    </row>
    <row r="250" spans="2:10" x14ac:dyDescent="0.3">
      <c r="B250" s="165"/>
    </row>
    <row r="251" spans="2:10" x14ac:dyDescent="0.3">
      <c r="B251" s="165"/>
    </row>
    <row r="252" spans="2:10" x14ac:dyDescent="0.3">
      <c r="B252" s="165"/>
    </row>
    <row r="253" spans="2:10" x14ac:dyDescent="0.3">
      <c r="B253" s="165"/>
    </row>
    <row r="254" spans="2:10" x14ac:dyDescent="0.3">
      <c r="B254" s="165"/>
    </row>
    <row r="255" spans="2:10" x14ac:dyDescent="0.3">
      <c r="B255" s="165"/>
    </row>
    <row r="256" spans="2:10" x14ac:dyDescent="0.3">
      <c r="B256" s="165"/>
    </row>
    <row r="257" spans="2:12" x14ac:dyDescent="0.3">
      <c r="B257" s="165"/>
    </row>
    <row r="258" spans="2:12" x14ac:dyDescent="0.3">
      <c r="B258" s="165"/>
    </row>
    <row r="259" spans="2:12" x14ac:dyDescent="0.3">
      <c r="B259" s="165"/>
    </row>
    <row r="260" spans="2:12" x14ac:dyDescent="0.3">
      <c r="B260" s="165"/>
    </row>
    <row r="261" spans="2:12" x14ac:dyDescent="0.3">
      <c r="B261" s="165"/>
    </row>
    <row r="262" spans="2:12" x14ac:dyDescent="0.3">
      <c r="B262" s="165"/>
    </row>
    <row r="263" spans="2:12" x14ac:dyDescent="0.3">
      <c r="B263" s="165"/>
    </row>
    <row r="264" spans="2:12" x14ac:dyDescent="0.3">
      <c r="B264" s="165"/>
    </row>
    <row r="265" spans="2:12" x14ac:dyDescent="0.3">
      <c r="B265" s="165"/>
    </row>
    <row r="266" spans="2:12" ht="45" customHeight="1" x14ac:dyDescent="0.3">
      <c r="B266" s="220" t="s">
        <v>472</v>
      </c>
      <c r="C266" s="220"/>
      <c r="D266" s="220"/>
      <c r="E266" s="220"/>
      <c r="F266" s="220"/>
      <c r="G266" s="220"/>
      <c r="H266" s="220"/>
      <c r="I266" s="220"/>
      <c r="J266" s="220"/>
      <c r="L266" s="197"/>
    </row>
    <row r="267" spans="2:12" s="203" customFormat="1" ht="5.0999999999999996" customHeight="1" x14ac:dyDescent="0.3">
      <c r="B267" s="202"/>
      <c r="C267" s="202"/>
      <c r="D267" s="202"/>
      <c r="E267" s="202"/>
      <c r="F267" s="202"/>
      <c r="G267" s="202"/>
      <c r="H267" s="202"/>
      <c r="I267" s="202"/>
      <c r="J267" s="202"/>
      <c r="L267" s="204"/>
    </row>
    <row r="268" spans="2:12" x14ac:dyDescent="0.3">
      <c r="B268" s="222" t="s">
        <v>510</v>
      </c>
      <c r="C268" s="222"/>
      <c r="D268" s="222"/>
      <c r="E268" s="222"/>
      <c r="F268" s="222"/>
      <c r="G268" s="222"/>
      <c r="H268" s="222"/>
      <c r="I268" s="222"/>
      <c r="J268" s="222"/>
    </row>
    <row r="269" spans="2:12" s="203" customFormat="1" ht="5.0999999999999996" customHeight="1" x14ac:dyDescent="0.3">
      <c r="B269" s="205"/>
      <c r="C269" s="205"/>
      <c r="D269" s="205"/>
      <c r="E269" s="205"/>
      <c r="F269" s="205"/>
      <c r="G269" s="205"/>
      <c r="H269" s="205"/>
      <c r="I269" s="205"/>
      <c r="J269" s="205"/>
    </row>
    <row r="270" spans="2:12" ht="78" customHeight="1" x14ac:dyDescent="0.3">
      <c r="B270" s="219" t="s">
        <v>511</v>
      </c>
      <c r="C270" s="219"/>
      <c r="D270" s="219"/>
      <c r="E270" s="219"/>
      <c r="F270" s="219"/>
      <c r="G270" s="219"/>
      <c r="H270" s="219"/>
      <c r="I270" s="219"/>
      <c r="J270" s="219"/>
    </row>
    <row r="271" spans="2:12" x14ac:dyDescent="0.3">
      <c r="B271" s="176" t="s">
        <v>360</v>
      </c>
    </row>
    <row r="272" spans="2:12" x14ac:dyDescent="0.3">
      <c r="B272" s="71" t="s">
        <v>361</v>
      </c>
    </row>
    <row r="273" spans="2:19" x14ac:dyDescent="0.3">
      <c r="B273" s="164"/>
    </row>
    <row r="274" spans="2:19" x14ac:dyDescent="0.3">
      <c r="B274" s="164"/>
    </row>
    <row r="275" spans="2:19" x14ac:dyDescent="0.3">
      <c r="B275" s="164"/>
    </row>
    <row r="276" spans="2:19" x14ac:dyDescent="0.3">
      <c r="B276" s="164"/>
    </row>
    <row r="277" spans="2:19" ht="20.100000000000001" customHeight="1" x14ac:dyDescent="0.3">
      <c r="B277" s="71" t="s">
        <v>362</v>
      </c>
    </row>
    <row r="278" spans="2:19" ht="20.100000000000001" customHeight="1" x14ac:dyDescent="0.3">
      <c r="B278" s="164" t="s">
        <v>363</v>
      </c>
    </row>
    <row r="279" spans="2:19" ht="20.100000000000001" customHeight="1" x14ac:dyDescent="0.3">
      <c r="B279" s="164" t="s">
        <v>364</v>
      </c>
    </row>
    <row r="280" spans="2:19" ht="20.100000000000001" customHeight="1" x14ac:dyDescent="0.3">
      <c r="B280" s="239">
        <v>46261</v>
      </c>
      <c r="C280" s="239"/>
      <c r="D280" s="239"/>
    </row>
    <row r="281" spans="2:19" ht="3.75" customHeight="1" x14ac:dyDescent="0.3">
      <c r="B281" s="71"/>
    </row>
    <row r="282" spans="2:19" x14ac:dyDescent="0.3">
      <c r="B282" s="71" t="s">
        <v>365</v>
      </c>
    </row>
    <row r="283" spans="2:19" ht="15.9" customHeight="1" x14ac:dyDescent="0.3">
      <c r="B283" s="224" t="s">
        <v>478</v>
      </c>
      <c r="C283" s="224"/>
      <c r="D283" s="224"/>
      <c r="E283" s="224"/>
      <c r="F283" s="224"/>
      <c r="G283" s="224"/>
      <c r="H283" s="224"/>
      <c r="I283" s="224"/>
      <c r="J283" s="224"/>
      <c r="L283" s="223" t="s">
        <v>345</v>
      </c>
      <c r="M283" s="223"/>
      <c r="N283" s="223"/>
      <c r="O283" s="223"/>
      <c r="P283" s="223"/>
      <c r="Q283" s="223"/>
      <c r="R283" s="223"/>
      <c r="S283" s="223"/>
    </row>
    <row r="284" spans="2:19" ht="15.9" customHeight="1" x14ac:dyDescent="0.3">
      <c r="B284" s="224" t="s">
        <v>477</v>
      </c>
      <c r="C284" s="224"/>
      <c r="D284" s="224"/>
      <c r="E284" s="224"/>
      <c r="F284" s="224"/>
      <c r="G284" s="224"/>
      <c r="H284" s="224"/>
      <c r="I284" s="224"/>
      <c r="J284" s="224"/>
      <c r="L284" s="223" t="s">
        <v>437</v>
      </c>
      <c r="M284" s="223"/>
      <c r="N284" s="223"/>
      <c r="O284" s="223"/>
      <c r="P284" s="223"/>
      <c r="Q284" s="223"/>
      <c r="R284" s="223"/>
      <c r="S284" s="223"/>
    </row>
    <row r="285" spans="2:19" ht="15.9" customHeight="1" x14ac:dyDescent="0.3">
      <c r="B285" s="224" t="s">
        <v>479</v>
      </c>
      <c r="C285" s="224"/>
      <c r="D285" s="224"/>
      <c r="E285" s="224"/>
      <c r="F285" s="224"/>
      <c r="G285" s="224"/>
      <c r="H285" s="224"/>
      <c r="I285" s="224"/>
      <c r="J285" s="224"/>
      <c r="L285" s="223" t="s">
        <v>436</v>
      </c>
      <c r="M285" s="223"/>
      <c r="N285" s="223"/>
      <c r="O285" s="223"/>
      <c r="P285" s="223"/>
      <c r="Q285" s="223"/>
      <c r="R285" s="223"/>
      <c r="S285" s="223"/>
    </row>
    <row r="286" spans="2:19" ht="15.9" customHeight="1" x14ac:dyDescent="0.3">
      <c r="B286" s="224" t="s">
        <v>480</v>
      </c>
      <c r="C286" s="224"/>
      <c r="D286" s="224"/>
      <c r="E286" s="224"/>
      <c r="F286" s="224"/>
      <c r="G286" s="224"/>
      <c r="H286" s="224"/>
      <c r="I286" s="224"/>
      <c r="J286" s="224"/>
      <c r="L286" s="223" t="s">
        <v>438</v>
      </c>
      <c r="M286" s="223"/>
      <c r="N286" s="223"/>
      <c r="O286" s="223"/>
      <c r="P286" s="223"/>
      <c r="Q286" s="223"/>
      <c r="R286" s="223"/>
      <c r="S286" s="223"/>
    </row>
    <row r="287" spans="2:19" ht="15.9" customHeight="1" x14ac:dyDescent="0.3">
      <c r="B287" s="224" t="s">
        <v>481</v>
      </c>
      <c r="C287" s="224"/>
      <c r="D287" s="224"/>
      <c r="E287" s="224"/>
      <c r="F287" s="224"/>
      <c r="G287" s="224"/>
      <c r="H287" s="224"/>
      <c r="I287" s="224"/>
      <c r="J287" s="224"/>
      <c r="L287" s="223" t="s">
        <v>346</v>
      </c>
      <c r="M287" s="223"/>
      <c r="N287" s="223"/>
      <c r="O287" s="223"/>
      <c r="P287" s="223"/>
      <c r="Q287" s="223"/>
      <c r="R287" s="223"/>
      <c r="S287" s="223"/>
    </row>
    <row r="288" spans="2:19" ht="15.9" customHeight="1" x14ac:dyDescent="0.3">
      <c r="B288" s="224" t="s">
        <v>482</v>
      </c>
      <c r="C288" s="224"/>
      <c r="D288" s="224"/>
      <c r="E288" s="224"/>
      <c r="F288" s="224"/>
      <c r="G288" s="224"/>
      <c r="H288" s="224"/>
      <c r="I288" s="224"/>
      <c r="J288" s="224"/>
      <c r="L288" s="223" t="s">
        <v>439</v>
      </c>
      <c r="M288" s="223"/>
      <c r="N288" s="223"/>
      <c r="O288" s="223"/>
      <c r="P288" s="223"/>
      <c r="Q288" s="223"/>
      <c r="R288" s="223"/>
      <c r="S288" s="223"/>
    </row>
    <row r="289" spans="2:19" ht="15.9" customHeight="1" x14ac:dyDescent="0.3">
      <c r="B289" s="224" t="s">
        <v>483</v>
      </c>
      <c r="C289" s="224"/>
      <c r="D289" s="224"/>
      <c r="E289" s="224"/>
      <c r="F289" s="224"/>
      <c r="G289" s="224"/>
      <c r="H289" s="224"/>
      <c r="I289" s="224"/>
      <c r="J289" s="224"/>
      <c r="L289" s="223" t="s">
        <v>440</v>
      </c>
      <c r="M289" s="223"/>
      <c r="N289" s="223"/>
      <c r="O289" s="223"/>
      <c r="P289" s="223"/>
      <c r="Q289" s="223"/>
      <c r="R289" s="223"/>
      <c r="S289" s="223"/>
    </row>
    <row r="290" spans="2:19" ht="15.9" customHeight="1" x14ac:dyDescent="0.3">
      <c r="B290" s="224" t="s">
        <v>484</v>
      </c>
      <c r="C290" s="224"/>
      <c r="D290" s="224"/>
      <c r="E290" s="224"/>
      <c r="F290" s="224"/>
      <c r="G290" s="224"/>
      <c r="H290" s="224"/>
      <c r="I290" s="224"/>
      <c r="J290" s="224"/>
      <c r="L290" s="223" t="s">
        <v>348</v>
      </c>
      <c r="M290" s="223"/>
      <c r="N290" s="223"/>
      <c r="O290" s="223"/>
      <c r="P290" s="223"/>
      <c r="Q290" s="223"/>
      <c r="R290" s="223"/>
      <c r="S290" s="223"/>
    </row>
    <row r="291" spans="2:19" ht="15.9" customHeight="1" x14ac:dyDescent="0.3">
      <c r="B291" s="224" t="s">
        <v>485</v>
      </c>
      <c r="C291" s="224"/>
      <c r="D291" s="224"/>
      <c r="E291" s="224"/>
      <c r="F291" s="224"/>
      <c r="G291" s="224"/>
      <c r="H291" s="224"/>
      <c r="I291" s="224"/>
      <c r="J291" s="224"/>
      <c r="L291" s="223" t="s">
        <v>441</v>
      </c>
      <c r="M291" s="223"/>
      <c r="N291" s="223"/>
      <c r="O291" s="223"/>
      <c r="P291" s="223"/>
      <c r="Q291" s="223"/>
      <c r="R291" s="223"/>
      <c r="S291" s="223"/>
    </row>
    <row r="292" spans="2:19" ht="15.9" customHeight="1" x14ac:dyDescent="0.3">
      <c r="B292" s="224" t="s">
        <v>486</v>
      </c>
      <c r="C292" s="224"/>
      <c r="D292" s="224"/>
      <c r="E292" s="224"/>
      <c r="F292" s="224"/>
      <c r="G292" s="224"/>
      <c r="H292" s="224"/>
      <c r="I292" s="224"/>
      <c r="J292" s="224"/>
      <c r="L292" s="223" t="s">
        <v>347</v>
      </c>
      <c r="M292" s="223"/>
      <c r="N292" s="223"/>
      <c r="O292" s="223"/>
      <c r="P292" s="223"/>
      <c r="Q292" s="223"/>
      <c r="R292" s="223"/>
      <c r="S292" s="223"/>
    </row>
    <row r="293" spans="2:19" x14ac:dyDescent="0.3">
      <c r="B293" s="224" t="s">
        <v>487</v>
      </c>
      <c r="C293" s="224"/>
      <c r="D293" s="224"/>
      <c r="E293" s="224"/>
      <c r="F293" s="224"/>
      <c r="G293" s="224"/>
      <c r="H293" s="224"/>
      <c r="I293" s="224"/>
      <c r="J293" s="224"/>
      <c r="L293" s="223" t="s">
        <v>28</v>
      </c>
      <c r="M293" s="223"/>
      <c r="N293" s="223"/>
      <c r="O293" s="223"/>
      <c r="P293" s="223"/>
      <c r="Q293" s="223"/>
      <c r="R293" s="223"/>
      <c r="S293" s="223"/>
    </row>
    <row r="294" spans="2:19" x14ac:dyDescent="0.3">
      <c r="B294" s="224" t="s">
        <v>488</v>
      </c>
      <c r="C294" s="224"/>
      <c r="D294" s="224"/>
      <c r="E294" s="224"/>
      <c r="F294" s="224"/>
      <c r="G294" s="224"/>
      <c r="H294" s="224"/>
      <c r="I294" s="224"/>
      <c r="J294" s="224"/>
      <c r="L294" s="223" t="s">
        <v>442</v>
      </c>
      <c r="M294" s="223"/>
      <c r="N294" s="223"/>
      <c r="O294" s="223"/>
      <c r="P294" s="223"/>
      <c r="Q294" s="223"/>
      <c r="R294" s="223"/>
      <c r="S294" s="223"/>
    </row>
    <row r="295" spans="2:19" x14ac:dyDescent="0.3">
      <c r="B295" s="224" t="s">
        <v>489</v>
      </c>
      <c r="C295" s="224"/>
      <c r="D295" s="224"/>
      <c r="E295" s="224"/>
      <c r="F295" s="224"/>
      <c r="G295" s="224"/>
      <c r="H295" s="224"/>
      <c r="I295" s="224"/>
      <c r="J295" s="224"/>
      <c r="L295" s="223" t="s">
        <v>443</v>
      </c>
      <c r="M295" s="223"/>
      <c r="N295" s="223"/>
      <c r="O295" s="223"/>
      <c r="P295" s="223"/>
      <c r="Q295" s="223"/>
      <c r="R295" s="223"/>
      <c r="S295" s="223"/>
    </row>
    <row r="296" spans="2:19" ht="15" customHeight="1" x14ac:dyDescent="0.3">
      <c r="B296" s="224" t="s">
        <v>490</v>
      </c>
      <c r="C296" s="224"/>
      <c r="D296" s="224"/>
      <c r="E296" s="224"/>
      <c r="F296" s="224"/>
      <c r="G296" s="224"/>
      <c r="H296" s="224"/>
      <c r="I296" s="224"/>
      <c r="J296" s="224"/>
      <c r="L296" s="223" t="s">
        <v>444</v>
      </c>
      <c r="M296" s="223"/>
      <c r="N296" s="223"/>
      <c r="O296" s="223"/>
      <c r="P296" s="223"/>
      <c r="Q296" s="223"/>
      <c r="R296" s="223"/>
      <c r="S296" s="223"/>
    </row>
    <row r="297" spans="2:19" x14ac:dyDescent="0.3">
      <c r="B297" s="224" t="s">
        <v>491</v>
      </c>
      <c r="C297" s="224"/>
      <c r="D297" s="224"/>
      <c r="E297" s="224"/>
      <c r="F297" s="224"/>
      <c r="G297" s="224"/>
      <c r="H297" s="224"/>
      <c r="I297" s="224"/>
      <c r="J297" s="224"/>
      <c r="L297" s="223" t="s">
        <v>446</v>
      </c>
      <c r="M297" s="223"/>
      <c r="N297" s="223"/>
      <c r="O297" s="223"/>
      <c r="P297" s="223"/>
      <c r="Q297" s="223"/>
      <c r="R297" s="223"/>
      <c r="S297" s="223"/>
    </row>
  </sheetData>
  <mergeCells count="215">
    <mergeCell ref="B10:J10"/>
    <mergeCell ref="B290:J290"/>
    <mergeCell ref="B291:J291"/>
    <mergeCell ref="B292:J292"/>
    <mergeCell ref="B114:J114"/>
    <mergeCell ref="B174:J174"/>
    <mergeCell ref="I195:J195"/>
    <mergeCell ref="I196:J196"/>
    <mergeCell ref="I197:J197"/>
    <mergeCell ref="B284:J284"/>
    <mergeCell ref="B285:J285"/>
    <mergeCell ref="B286:J286"/>
    <mergeCell ref="B287:J287"/>
    <mergeCell ref="B288:J288"/>
    <mergeCell ref="B289:J289"/>
    <mergeCell ref="B237:J237"/>
    <mergeCell ref="B242:J242"/>
    <mergeCell ref="B244:J244"/>
    <mergeCell ref="B246:J246"/>
    <mergeCell ref="B248:J248"/>
    <mergeCell ref="B283:J283"/>
    <mergeCell ref="B280:D280"/>
    <mergeCell ref="B229:J229"/>
    <mergeCell ref="B233:J233"/>
    <mergeCell ref="B170:J170"/>
    <mergeCell ref="B200:J200"/>
    <mergeCell ref="B172:J172"/>
    <mergeCell ref="B240:J240"/>
    <mergeCell ref="B239:J239"/>
    <mergeCell ref="B234:J234"/>
    <mergeCell ref="B235:J235"/>
    <mergeCell ref="B236:J236"/>
    <mergeCell ref="B210:J210"/>
    <mergeCell ref="F207:I207"/>
    <mergeCell ref="F208:I208"/>
    <mergeCell ref="B207:E207"/>
    <mergeCell ref="B208:E208"/>
    <mergeCell ref="B199:J199"/>
    <mergeCell ref="B202:J202"/>
    <mergeCell ref="B203:J203"/>
    <mergeCell ref="B204:J204"/>
    <mergeCell ref="B232:G232"/>
    <mergeCell ref="B213:J213"/>
    <mergeCell ref="B214:J214"/>
    <mergeCell ref="B205:J205"/>
    <mergeCell ref="B215:G215"/>
    <mergeCell ref="B216:J216"/>
    <mergeCell ref="B217:J217"/>
    <mergeCell ref="B145:J145"/>
    <mergeCell ref="B147:J147"/>
    <mergeCell ref="B149:J149"/>
    <mergeCell ref="B150:J150"/>
    <mergeCell ref="B151:J151"/>
    <mergeCell ref="B152:J152"/>
    <mergeCell ref="B153:J153"/>
    <mergeCell ref="B155:J155"/>
    <mergeCell ref="B157:J157"/>
    <mergeCell ref="B209:G209"/>
    <mergeCell ref="B211:G211"/>
    <mergeCell ref="B212:J212"/>
    <mergeCell ref="B185:G185"/>
    <mergeCell ref="B41:J41"/>
    <mergeCell ref="B42:J42"/>
    <mergeCell ref="B43:J43"/>
    <mergeCell ref="B44:J44"/>
    <mergeCell ref="B79:J79"/>
    <mergeCell ref="B83:J83"/>
    <mergeCell ref="B84:J84"/>
    <mergeCell ref="B50:J50"/>
    <mergeCell ref="B51:J51"/>
    <mergeCell ref="B76:J76"/>
    <mergeCell ref="B77:J77"/>
    <mergeCell ref="B78:J78"/>
    <mergeCell ref="B126:J126"/>
    <mergeCell ref="B127:J127"/>
    <mergeCell ref="B128:J128"/>
    <mergeCell ref="B129:J129"/>
    <mergeCell ref="B130:J130"/>
    <mergeCell ref="B181:J181"/>
    <mergeCell ref="B183:J183"/>
    <mergeCell ref="B182:G182"/>
    <mergeCell ref="B227:J227"/>
    <mergeCell ref="B228:J228"/>
    <mergeCell ref="B226:G226"/>
    <mergeCell ref="B224:J224"/>
    <mergeCell ref="B225:J225"/>
    <mergeCell ref="B218:J218"/>
    <mergeCell ref="B219:J219"/>
    <mergeCell ref="B221:J221"/>
    <mergeCell ref="B222:J222"/>
    <mergeCell ref="B184:J184"/>
    <mergeCell ref="B186:J186"/>
    <mergeCell ref="B13:J13"/>
    <mergeCell ref="C18:J18"/>
    <mergeCell ref="C19:J19"/>
    <mergeCell ref="C22:J22"/>
    <mergeCell ref="C27:J27"/>
    <mergeCell ref="C28:J28"/>
    <mergeCell ref="C29:J29"/>
    <mergeCell ref="C25:J25"/>
    <mergeCell ref="C31:J31"/>
    <mergeCell ref="C26:J26"/>
    <mergeCell ref="C32:J32"/>
    <mergeCell ref="B36:J36"/>
    <mergeCell ref="B131:J131"/>
    <mergeCell ref="B116:J116"/>
    <mergeCell ref="B117:J117"/>
    <mergeCell ref="B118:J118"/>
    <mergeCell ref="B119:J119"/>
    <mergeCell ref="B123:J123"/>
    <mergeCell ref="B125:J125"/>
    <mergeCell ref="C20:J20"/>
    <mergeCell ref="C21:J21"/>
    <mergeCell ref="C23:J23"/>
    <mergeCell ref="C196:E196"/>
    <mergeCell ref="C197:E197"/>
    <mergeCell ref="B191:J191"/>
    <mergeCell ref="B192:J192"/>
    <mergeCell ref="B193:J193"/>
    <mergeCell ref="B187:G187"/>
    <mergeCell ref="B188:J188"/>
    <mergeCell ref="B189:J189"/>
    <mergeCell ref="B190:J190"/>
    <mergeCell ref="C24:J24"/>
    <mergeCell ref="C30:J30"/>
    <mergeCell ref="B45:J45"/>
    <mergeCell ref="B46:J46"/>
    <mergeCell ref="B35:J35"/>
    <mergeCell ref="B180:G180"/>
    <mergeCell ref="B175:G175"/>
    <mergeCell ref="B176:J176"/>
    <mergeCell ref="B177:J177"/>
    <mergeCell ref="B178:J178"/>
    <mergeCell ref="B179:J179"/>
    <mergeCell ref="B120:J120"/>
    <mergeCell ref="B139:J139"/>
    <mergeCell ref="B141:J141"/>
    <mergeCell ref="B132:J132"/>
    <mergeCell ref="B134:J134"/>
    <mergeCell ref="B136:J136"/>
    <mergeCell ref="B137:J137"/>
    <mergeCell ref="B138:J138"/>
    <mergeCell ref="B143:J143"/>
    <mergeCell ref="B144:J144"/>
    <mergeCell ref="B158:J158"/>
    <mergeCell ref="B159:J159"/>
    <mergeCell ref="B160:J160"/>
    <mergeCell ref="L283:S283"/>
    <mergeCell ref="L284:S284"/>
    <mergeCell ref="L285:S285"/>
    <mergeCell ref="L286:S286"/>
    <mergeCell ref="L287:S287"/>
    <mergeCell ref="L288:S288"/>
    <mergeCell ref="L289:S289"/>
    <mergeCell ref="L290:S290"/>
    <mergeCell ref="L291:S291"/>
    <mergeCell ref="L292:S292"/>
    <mergeCell ref="L293:S293"/>
    <mergeCell ref="L294:S294"/>
    <mergeCell ref="L295:S295"/>
    <mergeCell ref="L296:S296"/>
    <mergeCell ref="L297:S297"/>
    <mergeCell ref="B293:J293"/>
    <mergeCell ref="B294:J294"/>
    <mergeCell ref="B295:J295"/>
    <mergeCell ref="B296:J296"/>
    <mergeCell ref="B297:J297"/>
    <mergeCell ref="B12:J12"/>
    <mergeCell ref="B17:J17"/>
    <mergeCell ref="B37:J37"/>
    <mergeCell ref="B268:J268"/>
    <mergeCell ref="B270:J270"/>
    <mergeCell ref="B52:J52"/>
    <mergeCell ref="B53:J53"/>
    <mergeCell ref="B54:J54"/>
    <mergeCell ref="B58:J58"/>
    <mergeCell ref="B59:J59"/>
    <mergeCell ref="B60:J60"/>
    <mergeCell ref="B61:J61"/>
    <mergeCell ref="B62:J62"/>
    <mergeCell ref="B63:J63"/>
    <mergeCell ref="B67:J67"/>
    <mergeCell ref="B68:J68"/>
    <mergeCell ref="B69:J69"/>
    <mergeCell ref="B70:J70"/>
    <mergeCell ref="B71:J71"/>
    <mergeCell ref="B72:J72"/>
    <mergeCell ref="B88:J88"/>
    <mergeCell ref="B89:J89"/>
    <mergeCell ref="B14:J14"/>
    <mergeCell ref="B15:J15"/>
    <mergeCell ref="B161:J161"/>
    <mergeCell ref="B80:J80"/>
    <mergeCell ref="B122:J122"/>
    <mergeCell ref="B168:J168"/>
    <mergeCell ref="B231:J231"/>
    <mergeCell ref="B266:J266"/>
    <mergeCell ref="B102:J102"/>
    <mergeCell ref="B103:J103"/>
    <mergeCell ref="B104:J104"/>
    <mergeCell ref="B105:J105"/>
    <mergeCell ref="B110:J110"/>
    <mergeCell ref="B111:J111"/>
    <mergeCell ref="B112:J112"/>
    <mergeCell ref="B109:J109"/>
    <mergeCell ref="B93:J93"/>
    <mergeCell ref="B94:J94"/>
    <mergeCell ref="B95:J95"/>
    <mergeCell ref="B96:J96"/>
    <mergeCell ref="B97:J97"/>
    <mergeCell ref="B101:J101"/>
    <mergeCell ref="B201:G201"/>
    <mergeCell ref="B194:G194"/>
    <mergeCell ref="B198:G198"/>
    <mergeCell ref="C195:E195"/>
  </mergeCells>
  <pageMargins left="0.74803149606299202" right="0.74803149606299202" top="0.98425196850393704" bottom="0.78740157480314998" header="0.511811023622047" footer="0.39370078740157499"/>
  <pageSetup paperSize="9" scale="95" orientation="portrait" useFirstPageNumber="1" r:id="rId1"/>
  <headerFooter scaleWithDoc="0">
    <oddFooter>&amp;C&amp;"-,Bold"&amp;10&amp;P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0076-CE82-48CA-BAC8-980E2A5507CA}">
  <dimension ref="A1:J26"/>
  <sheetViews>
    <sheetView showGridLines="0" view="pageBreakPreview" topLeftCell="A7" zoomScaleNormal="100" zoomScaleSheetLayoutView="100" workbookViewId="0">
      <selection activeCell="D19" sqref="D19:G19"/>
    </sheetView>
  </sheetViews>
  <sheetFormatPr defaultRowHeight="14.4" x14ac:dyDescent="0.3"/>
  <cols>
    <col min="1" max="1" width="4.5546875" style="1" customWidth="1"/>
    <col min="2" max="2" width="34.44140625" customWidth="1"/>
    <col min="3" max="3" width="7.109375" customWidth="1"/>
    <col min="4" max="4" width="12.88671875" customWidth="1"/>
    <col min="6" max="6" width="50.6640625" customWidth="1"/>
  </cols>
  <sheetData>
    <row r="1" spans="1:10" ht="8.4" customHeight="1" x14ac:dyDescent="0.3"/>
    <row r="9" spans="1:10" ht="18" customHeight="1" x14ac:dyDescent="0.3">
      <c r="A9" s="241" t="s">
        <v>280</v>
      </c>
      <c r="B9" s="242"/>
      <c r="C9" s="242"/>
      <c r="D9" s="242"/>
      <c r="E9" s="242"/>
      <c r="F9" s="242"/>
      <c r="G9" s="243"/>
    </row>
    <row r="10" spans="1:10" ht="20.100000000000001" customHeight="1" x14ac:dyDescent="0.35">
      <c r="A10" s="241" t="s">
        <v>335</v>
      </c>
      <c r="B10" s="242"/>
      <c r="C10" s="242"/>
      <c r="D10" s="242"/>
      <c r="E10" s="242"/>
      <c r="F10" s="242"/>
      <c r="G10" s="243"/>
      <c r="H10" s="6"/>
      <c r="I10" s="6"/>
      <c r="J10" s="6"/>
    </row>
    <row r="11" spans="1:10" ht="10.95" customHeight="1" x14ac:dyDescent="0.3"/>
    <row r="12" spans="1:10" ht="9" customHeight="1" x14ac:dyDescent="0.3"/>
    <row r="13" spans="1:10" s="8" customFormat="1" ht="48" customHeight="1" x14ac:dyDescent="0.3">
      <c r="A13" s="144">
        <v>1</v>
      </c>
      <c r="B13" s="9" t="s">
        <v>203</v>
      </c>
      <c r="D13" s="247"/>
      <c r="E13" s="245"/>
      <c r="F13" s="245"/>
      <c r="G13" s="246"/>
    </row>
    <row r="14" spans="1:10" s="8" customFormat="1" x14ac:dyDescent="0.3">
      <c r="A14" s="144"/>
    </row>
    <row r="15" spans="1:10" s="8" customFormat="1" ht="46.2" customHeight="1" x14ac:dyDescent="0.3">
      <c r="A15" s="144">
        <v>2</v>
      </c>
      <c r="B15" s="9" t="s">
        <v>200</v>
      </c>
      <c r="D15" s="247"/>
      <c r="E15" s="248"/>
      <c r="F15" s="248"/>
      <c r="G15" s="249"/>
    </row>
    <row r="16" spans="1:10" s="8" customFormat="1" x14ac:dyDescent="0.3">
      <c r="A16" s="144"/>
    </row>
    <row r="17" spans="1:7" s="8" customFormat="1" ht="25.2" customHeight="1" x14ac:dyDescent="0.3">
      <c r="A17" s="144">
        <v>3</v>
      </c>
      <c r="B17" s="7" t="s">
        <v>0</v>
      </c>
      <c r="D17" s="244"/>
      <c r="E17" s="245"/>
      <c r="F17" s="245"/>
      <c r="G17" s="246"/>
    </row>
    <row r="18" spans="1:7" s="8" customFormat="1" x14ac:dyDescent="0.3">
      <c r="A18" s="144"/>
    </row>
    <row r="19" spans="1:7" s="8" customFormat="1" ht="52.95" customHeight="1" x14ac:dyDescent="0.3">
      <c r="A19" s="144">
        <v>4</v>
      </c>
      <c r="B19" s="9" t="s">
        <v>201</v>
      </c>
      <c r="D19" s="247"/>
      <c r="E19" s="248"/>
      <c r="F19" s="248"/>
      <c r="G19" s="249"/>
    </row>
    <row r="20" spans="1:7" ht="18" customHeight="1" x14ac:dyDescent="0.3"/>
    <row r="21" spans="1:7" ht="18" customHeight="1" x14ac:dyDescent="0.3"/>
    <row r="22" spans="1:7" ht="18" customHeight="1" x14ac:dyDescent="0.3"/>
    <row r="23" spans="1:7" ht="18" customHeight="1" x14ac:dyDescent="0.3">
      <c r="B23" s="10"/>
    </row>
    <row r="24" spans="1:7" x14ac:dyDescent="0.3">
      <c r="B24" s="2" t="s">
        <v>1</v>
      </c>
    </row>
    <row r="25" spans="1:7" x14ac:dyDescent="0.3">
      <c r="B25" s="2" t="s">
        <v>2</v>
      </c>
    </row>
    <row r="26" spans="1:7" x14ac:dyDescent="0.3">
      <c r="B26" s="2" t="s">
        <v>3</v>
      </c>
    </row>
  </sheetData>
  <mergeCells count="6">
    <mergeCell ref="A9:G9"/>
    <mergeCell ref="D17:G17"/>
    <mergeCell ref="D19:G19"/>
    <mergeCell ref="A10:G10"/>
    <mergeCell ref="D13:G13"/>
    <mergeCell ref="D15:G15"/>
  </mergeCells>
  <pageMargins left="0.70866141732283505" right="0.70866141732283505" top="0.74803149606299202" bottom="0.74803149606299202" header="0.31496062992126" footer="0.31496062992126"/>
  <pageSetup paperSize="9" scale="95" firstPageNumber="7" orientation="landscape" useFirstPageNumber="1" r:id="rId1"/>
  <headerFooter>
    <oddFooter>&amp;C&amp;"-,Bold"&amp;10&amp;P&amp;R&amp;9&amp;K09-019Financial audit - interim review 2023</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1335F-9C8A-4012-941E-88E3FBE582F1}">
  <dimension ref="A5:O56"/>
  <sheetViews>
    <sheetView showGridLines="0" view="pageBreakPreview" zoomScaleNormal="100" zoomScaleSheetLayoutView="100" workbookViewId="0">
      <pane ySplit="10" topLeftCell="A44" activePane="bottomLeft" state="frozen"/>
      <selection activeCell="K23" sqref="K23"/>
      <selection pane="bottomLeft" activeCell="F22" sqref="F22:J37"/>
    </sheetView>
  </sheetViews>
  <sheetFormatPr defaultRowHeight="14.4" x14ac:dyDescent="0.3"/>
  <cols>
    <col min="1" max="1" width="5" customWidth="1"/>
    <col min="3" max="3" width="7.44140625" customWidth="1"/>
    <col min="4" max="4" width="10.109375" customWidth="1"/>
    <col min="5" max="5" width="10" customWidth="1"/>
    <col min="6" max="6" width="6.88671875" customWidth="1"/>
    <col min="7" max="7" width="11.6640625" customWidth="1"/>
    <col min="8" max="8" width="2.6640625" customWidth="1"/>
    <col min="9" max="9" width="11.6640625" customWidth="1"/>
    <col min="10" max="10" width="2.6640625" customWidth="1"/>
    <col min="11" max="11" width="11.6640625" customWidth="1"/>
    <col min="12" max="12" width="2.6640625" customWidth="1"/>
    <col min="13" max="13" width="11.6640625" customWidth="1"/>
    <col min="15" max="15" width="11.5546875" bestFit="1" customWidth="1"/>
  </cols>
  <sheetData>
    <row r="5" spans="1:15" ht="20.100000000000001" customHeight="1" x14ac:dyDescent="0.3">
      <c r="A5" s="250" t="s">
        <v>280</v>
      </c>
      <c r="B5" s="250"/>
      <c r="C5" s="250"/>
      <c r="D5" s="250"/>
      <c r="E5" s="250"/>
      <c r="F5" s="250"/>
      <c r="G5" s="250"/>
      <c r="H5" s="250"/>
      <c r="I5" s="250"/>
      <c r="J5" s="250"/>
      <c r="K5" s="250"/>
      <c r="L5" s="250"/>
      <c r="M5" s="250"/>
    </row>
    <row r="6" spans="1:15" ht="20.100000000000001" customHeight="1" x14ac:dyDescent="0.35">
      <c r="A6" s="250" t="s">
        <v>177</v>
      </c>
      <c r="B6" s="250"/>
      <c r="C6" s="250"/>
      <c r="D6" s="250"/>
      <c r="E6" s="250"/>
      <c r="F6" s="250"/>
      <c r="G6" s="250"/>
      <c r="H6" s="250"/>
      <c r="I6" s="250"/>
      <c r="J6" s="250"/>
      <c r="K6" s="250"/>
      <c r="L6" s="250"/>
      <c r="M6" s="250"/>
      <c r="N6" s="15"/>
      <c r="O6" s="15"/>
    </row>
    <row r="9" spans="1:15" x14ac:dyDescent="0.3">
      <c r="G9" s="147" t="s">
        <v>4</v>
      </c>
      <c r="H9" s="148"/>
      <c r="I9" s="147" t="s">
        <v>4</v>
      </c>
      <c r="J9" s="148"/>
      <c r="K9" s="147" t="s">
        <v>5</v>
      </c>
      <c r="L9" s="148"/>
      <c r="M9" s="147" t="s">
        <v>6</v>
      </c>
    </row>
    <row r="10" spans="1:15" ht="26.25" customHeight="1" x14ac:dyDescent="0.3">
      <c r="B10" s="2"/>
      <c r="F10" s="71"/>
      <c r="G10" s="149" t="s">
        <v>144</v>
      </c>
      <c r="H10" s="150"/>
      <c r="I10" s="151" t="s">
        <v>145</v>
      </c>
      <c r="J10" s="148"/>
      <c r="K10" s="149" t="s">
        <v>144</v>
      </c>
      <c r="L10" s="148"/>
      <c r="M10" s="151" t="s">
        <v>145</v>
      </c>
    </row>
    <row r="11" spans="1:15" ht="7.95" customHeight="1" x14ac:dyDescent="0.3">
      <c r="B11" s="2"/>
      <c r="G11" s="53"/>
      <c r="H11" s="3"/>
      <c r="I11" s="49"/>
      <c r="J11" s="2"/>
      <c r="K11" s="53"/>
      <c r="L11" s="2"/>
      <c r="M11" s="49"/>
    </row>
    <row r="12" spans="1:15" ht="21" customHeight="1" x14ac:dyDescent="0.3">
      <c r="B12" s="30" t="s">
        <v>19</v>
      </c>
    </row>
    <row r="13" spans="1:15" x14ac:dyDescent="0.3">
      <c r="B13" s="24" t="s">
        <v>7</v>
      </c>
      <c r="C13" s="14"/>
      <c r="D13" s="25"/>
      <c r="G13" s="95"/>
      <c r="H13" s="96"/>
      <c r="I13" s="95"/>
      <c r="J13" s="96"/>
      <c r="K13" s="95">
        <f>M13</f>
        <v>0</v>
      </c>
      <c r="L13" s="96"/>
      <c r="M13" s="95"/>
      <c r="O13" s="112"/>
    </row>
    <row r="14" spans="1:15" ht="8.4" customHeight="1" x14ac:dyDescent="0.3">
      <c r="B14" s="26"/>
      <c r="D14" s="27"/>
      <c r="G14" s="96"/>
      <c r="H14" s="96"/>
      <c r="I14" s="96"/>
      <c r="J14" s="96"/>
      <c r="K14" s="96"/>
      <c r="L14" s="96"/>
      <c r="M14" s="96"/>
    </row>
    <row r="15" spans="1:15" x14ac:dyDescent="0.3">
      <c r="B15" s="26" t="s">
        <v>8</v>
      </c>
      <c r="D15" s="27"/>
      <c r="G15" s="95"/>
      <c r="H15" s="96"/>
      <c r="I15" s="95"/>
      <c r="J15" s="96"/>
      <c r="K15" s="95"/>
      <c r="L15" s="96"/>
      <c r="M15" s="95"/>
    </row>
    <row r="16" spans="1:15" ht="8.4" customHeight="1" x14ac:dyDescent="0.3">
      <c r="B16" s="26"/>
      <c r="D16" s="27"/>
      <c r="G16" s="96"/>
      <c r="H16" s="96"/>
      <c r="I16" s="96"/>
      <c r="J16" s="96"/>
      <c r="K16" s="96"/>
      <c r="L16" s="96"/>
      <c r="M16" s="96"/>
    </row>
    <row r="17" spans="2:13" x14ac:dyDescent="0.3">
      <c r="B17" s="28" t="s">
        <v>9</v>
      </c>
      <c r="C17" s="10"/>
      <c r="D17" s="29"/>
      <c r="F17" s="2"/>
      <c r="G17" s="95"/>
      <c r="H17" s="96"/>
      <c r="I17" s="95"/>
      <c r="J17" s="96"/>
      <c r="K17" s="95"/>
      <c r="L17" s="96"/>
      <c r="M17" s="95"/>
    </row>
    <row r="18" spans="2:13" x14ac:dyDescent="0.3">
      <c r="G18" s="97"/>
      <c r="H18" s="96"/>
      <c r="I18" s="97"/>
      <c r="J18" s="96"/>
      <c r="K18" s="97"/>
      <c r="L18" s="96"/>
      <c r="M18" s="96"/>
    </row>
    <row r="19" spans="2:13" x14ac:dyDescent="0.3">
      <c r="B19" s="2" t="s">
        <v>24</v>
      </c>
      <c r="G19" s="98">
        <f>SUM(G13:G17)</f>
        <v>0</v>
      </c>
      <c r="H19" s="99"/>
      <c r="I19" s="98">
        <f>SUM(I13:I17)</f>
        <v>0</v>
      </c>
      <c r="J19" s="99"/>
      <c r="K19" s="98">
        <f>SUM(K13:K17)</f>
        <v>0</v>
      </c>
      <c r="L19" s="99"/>
      <c r="M19" s="98">
        <f>SUM(M13:M17)</f>
        <v>0</v>
      </c>
    </row>
    <row r="20" spans="2:13" x14ac:dyDescent="0.3">
      <c r="G20" s="96"/>
      <c r="H20" s="96"/>
      <c r="I20" s="96"/>
      <c r="J20" s="96"/>
      <c r="K20" s="96"/>
      <c r="L20" s="96"/>
      <c r="M20" s="96"/>
    </row>
    <row r="21" spans="2:13" x14ac:dyDescent="0.3">
      <c r="B21" s="2" t="s">
        <v>20</v>
      </c>
      <c r="G21" s="96"/>
      <c r="H21" s="96"/>
      <c r="I21" s="96"/>
      <c r="J21" s="96"/>
      <c r="K21" s="96"/>
      <c r="L21" s="96"/>
      <c r="M21" s="96"/>
    </row>
    <row r="22" spans="2:13" ht="9" customHeight="1" x14ac:dyDescent="0.3">
      <c r="G22" s="96"/>
      <c r="H22" s="96"/>
      <c r="I22" s="96"/>
      <c r="J22" s="96"/>
      <c r="K22" s="96"/>
      <c r="L22" s="96"/>
      <c r="M22" s="96"/>
    </row>
    <row r="23" spans="2:13" x14ac:dyDescent="0.3">
      <c r="B23" s="24" t="s">
        <v>11</v>
      </c>
      <c r="C23" s="14"/>
      <c r="D23" s="14"/>
      <c r="E23" s="25"/>
      <c r="G23" s="95"/>
      <c r="H23" s="96"/>
      <c r="I23" s="95"/>
      <c r="J23" s="96"/>
      <c r="K23" s="95"/>
      <c r="L23" s="96"/>
      <c r="M23" s="95"/>
    </row>
    <row r="24" spans="2:13" ht="7.95" customHeight="1" x14ac:dyDescent="0.3">
      <c r="B24" s="26"/>
      <c r="E24" s="27"/>
      <c r="G24" s="96"/>
      <c r="H24" s="96"/>
      <c r="I24" s="96"/>
      <c r="J24" s="96"/>
      <c r="K24" s="96"/>
      <c r="L24" s="96"/>
      <c r="M24" s="96"/>
    </row>
    <row r="25" spans="2:13" x14ac:dyDescent="0.3">
      <c r="B25" s="26" t="s">
        <v>10</v>
      </c>
      <c r="E25" s="27"/>
      <c r="G25" s="95"/>
      <c r="H25" s="96"/>
      <c r="I25" s="95"/>
      <c r="J25" s="96"/>
      <c r="K25" s="95"/>
      <c r="L25" s="96"/>
      <c r="M25" s="95"/>
    </row>
    <row r="26" spans="2:13" ht="9" customHeight="1" x14ac:dyDescent="0.3">
      <c r="B26" s="26"/>
      <c r="E26" s="27"/>
      <c r="G26" s="96"/>
      <c r="H26" s="96"/>
      <c r="I26" s="96"/>
      <c r="J26" s="96"/>
      <c r="K26" s="96"/>
      <c r="L26" s="96"/>
      <c r="M26" s="96"/>
    </row>
    <row r="27" spans="2:13" x14ac:dyDescent="0.3">
      <c r="B27" s="26" t="s">
        <v>13</v>
      </c>
      <c r="E27" s="27"/>
      <c r="G27" s="95"/>
      <c r="H27" s="96"/>
      <c r="I27" s="95"/>
      <c r="J27" s="96"/>
      <c r="K27" s="95"/>
      <c r="L27" s="96"/>
      <c r="M27" s="95"/>
    </row>
    <row r="28" spans="2:13" ht="8.4" customHeight="1" x14ac:dyDescent="0.3">
      <c r="B28" s="26"/>
      <c r="E28" s="27"/>
      <c r="G28" s="96"/>
      <c r="H28" s="96"/>
      <c r="I28" s="96"/>
      <c r="J28" s="96"/>
      <c r="K28" s="96"/>
      <c r="L28" s="96"/>
      <c r="M28" s="96"/>
    </row>
    <row r="29" spans="2:13" x14ac:dyDescent="0.3">
      <c r="B29" s="26" t="s">
        <v>140</v>
      </c>
      <c r="E29" s="27"/>
      <c r="G29" s="95"/>
      <c r="H29" s="96"/>
      <c r="I29" s="95"/>
      <c r="J29" s="96"/>
      <c r="K29" s="95"/>
      <c r="L29" s="96"/>
      <c r="M29" s="95"/>
    </row>
    <row r="30" spans="2:13" ht="10.199999999999999" customHeight="1" x14ac:dyDescent="0.3">
      <c r="B30" s="26"/>
      <c r="E30" s="27"/>
      <c r="G30" s="96"/>
      <c r="H30" s="96"/>
      <c r="I30" s="96"/>
      <c r="J30" s="96"/>
      <c r="K30" s="96"/>
      <c r="L30" s="96"/>
      <c r="M30" s="96"/>
    </row>
    <row r="31" spans="2:13" x14ac:dyDescent="0.3">
      <c r="B31" s="26" t="s">
        <v>12</v>
      </c>
      <c r="E31" s="27"/>
      <c r="G31" s="95"/>
      <c r="H31" s="96"/>
      <c r="I31" s="95"/>
      <c r="J31" s="96"/>
      <c r="K31" s="95"/>
      <c r="L31" s="96"/>
      <c r="M31" s="95"/>
    </row>
    <row r="32" spans="2:13" ht="8.4" customHeight="1" x14ac:dyDescent="0.3">
      <c r="B32" s="26"/>
      <c r="E32" s="27"/>
      <c r="G32" s="96"/>
      <c r="H32" s="96"/>
      <c r="I32" s="96"/>
      <c r="J32" s="96"/>
      <c r="K32" s="96"/>
      <c r="L32" s="96"/>
      <c r="M32" s="96"/>
    </row>
    <row r="33" spans="2:13" x14ac:dyDescent="0.3">
      <c r="B33" s="26" t="s">
        <v>141</v>
      </c>
      <c r="E33" s="27"/>
      <c r="G33" s="95"/>
      <c r="H33" s="96"/>
      <c r="I33" s="95"/>
      <c r="J33" s="96"/>
      <c r="K33" s="95"/>
      <c r="L33" s="96"/>
      <c r="M33" s="95"/>
    </row>
    <row r="34" spans="2:13" x14ac:dyDescent="0.3">
      <c r="B34" s="26"/>
      <c r="E34" s="27"/>
      <c r="G34" s="96"/>
      <c r="H34" s="96"/>
      <c r="I34" s="96"/>
      <c r="J34" s="96"/>
      <c r="K34" s="96"/>
      <c r="L34" s="96"/>
      <c r="M34" s="96"/>
    </row>
    <row r="35" spans="2:13" x14ac:dyDescent="0.3">
      <c r="B35" s="26" t="s">
        <v>142</v>
      </c>
      <c r="E35" s="27"/>
      <c r="G35" s="95"/>
      <c r="H35" s="96"/>
      <c r="I35" s="95"/>
      <c r="J35" s="96"/>
      <c r="K35" s="95"/>
      <c r="L35" s="96"/>
      <c r="M35" s="95"/>
    </row>
    <row r="36" spans="2:13" x14ac:dyDescent="0.3">
      <c r="B36" s="26"/>
      <c r="E36" s="27"/>
      <c r="G36" s="96"/>
      <c r="H36" s="96"/>
      <c r="I36" s="96"/>
      <c r="J36" s="96"/>
      <c r="K36" s="96"/>
      <c r="L36" s="96"/>
      <c r="M36" s="96"/>
    </row>
    <row r="37" spans="2:13" x14ac:dyDescent="0.3">
      <c r="B37" s="26" t="s">
        <v>14</v>
      </c>
      <c r="E37" s="27"/>
      <c r="G37" s="95"/>
      <c r="H37" s="96"/>
      <c r="I37" s="95"/>
      <c r="J37" s="96"/>
      <c r="K37" s="95"/>
      <c r="L37" s="96"/>
      <c r="M37" s="95"/>
    </row>
    <row r="38" spans="2:13" x14ac:dyDescent="0.3">
      <c r="B38" s="26"/>
      <c r="E38" s="27"/>
      <c r="G38" s="96"/>
      <c r="H38" s="96"/>
      <c r="I38" s="96"/>
      <c r="J38" s="96"/>
      <c r="K38" s="96"/>
      <c r="L38" s="96"/>
      <c r="M38" s="96"/>
    </row>
    <row r="39" spans="2:13" x14ac:dyDescent="0.3">
      <c r="B39" s="26" t="s">
        <v>15</v>
      </c>
      <c r="E39" s="27"/>
      <c r="G39" s="95"/>
      <c r="H39" s="96"/>
      <c r="I39" s="95"/>
      <c r="J39" s="96"/>
      <c r="K39" s="95"/>
      <c r="L39" s="96"/>
      <c r="M39" s="95"/>
    </row>
    <row r="40" spans="2:13" x14ac:dyDescent="0.3">
      <c r="B40" s="26"/>
      <c r="E40" s="27"/>
      <c r="G40" s="96"/>
      <c r="H40" s="96"/>
      <c r="I40" s="96"/>
      <c r="J40" s="96"/>
      <c r="K40" s="96"/>
      <c r="L40" s="96"/>
      <c r="M40" s="96"/>
    </row>
    <row r="41" spans="2:13" x14ac:dyDescent="0.3">
      <c r="B41" s="28" t="s">
        <v>143</v>
      </c>
      <c r="C41" s="10"/>
      <c r="D41" s="10"/>
      <c r="E41" s="29"/>
      <c r="G41" s="95"/>
      <c r="H41" s="96"/>
      <c r="I41" s="95"/>
      <c r="J41" s="96"/>
      <c r="K41" s="95"/>
      <c r="L41" s="96"/>
      <c r="M41" s="95"/>
    </row>
    <row r="42" spans="2:13" x14ac:dyDescent="0.3">
      <c r="G42" s="96"/>
      <c r="H42" s="96"/>
      <c r="I42" s="96"/>
      <c r="J42" s="96"/>
      <c r="K42" s="96"/>
      <c r="L42" s="96"/>
      <c r="M42" s="96"/>
    </row>
    <row r="43" spans="2:13" x14ac:dyDescent="0.3">
      <c r="B43" s="2" t="s">
        <v>25</v>
      </c>
      <c r="G43" s="98">
        <f>SUM(G22:G41)</f>
        <v>0</v>
      </c>
      <c r="H43" s="99"/>
      <c r="I43" s="98">
        <f>SUM(I22:I41)</f>
        <v>0</v>
      </c>
      <c r="J43" s="99"/>
      <c r="K43" s="98">
        <f>SUM(K22:K41)</f>
        <v>0</v>
      </c>
      <c r="L43" s="99"/>
      <c r="M43" s="98">
        <f>SUM(M22:M41)</f>
        <v>0</v>
      </c>
    </row>
    <row r="44" spans="2:13" x14ac:dyDescent="0.3">
      <c r="G44" s="96"/>
      <c r="H44" s="96"/>
      <c r="I44" s="96"/>
      <c r="J44" s="96"/>
      <c r="K44" s="96"/>
      <c r="L44" s="96"/>
      <c r="M44" s="96"/>
    </row>
    <row r="45" spans="2:13" ht="15" thickBot="1" x14ac:dyDescent="0.35">
      <c r="B45" s="2" t="s">
        <v>16</v>
      </c>
      <c r="G45" s="100">
        <f>G19-G43</f>
        <v>0</v>
      </c>
      <c r="H45" s="99"/>
      <c r="I45" s="100">
        <f>I19-I43</f>
        <v>0</v>
      </c>
      <c r="J45" s="99"/>
      <c r="K45" s="100">
        <f>K19-K43</f>
        <v>0</v>
      </c>
      <c r="L45" s="99"/>
      <c r="M45" s="100">
        <f>M19-M43</f>
        <v>0</v>
      </c>
    </row>
    <row r="46" spans="2:13" ht="15" thickTop="1" x14ac:dyDescent="0.3">
      <c r="G46" s="96"/>
      <c r="H46" s="96"/>
      <c r="I46" s="96"/>
      <c r="J46" s="96"/>
      <c r="K46" s="96"/>
      <c r="L46" s="96"/>
      <c r="M46" s="96"/>
    </row>
    <row r="47" spans="2:13" ht="15" thickBot="1" x14ac:dyDescent="0.35">
      <c r="B47" t="s">
        <v>339</v>
      </c>
      <c r="G47" s="101">
        <f>I45</f>
        <v>0</v>
      </c>
      <c r="H47" s="96"/>
      <c r="I47" s="96"/>
      <c r="J47" s="96"/>
      <c r="K47" s="101">
        <f>M45</f>
        <v>0</v>
      </c>
      <c r="L47" s="96"/>
      <c r="M47" s="96"/>
    </row>
    <row r="48" spans="2:13" ht="15" thickTop="1" x14ac:dyDescent="0.3">
      <c r="G48" s="96"/>
      <c r="H48" s="96"/>
      <c r="I48" s="96"/>
      <c r="J48" s="96"/>
      <c r="K48" s="96"/>
      <c r="L48" s="96"/>
      <c r="M48" s="96"/>
    </row>
    <row r="49" spans="2:13" ht="15" thickBot="1" x14ac:dyDescent="0.35">
      <c r="B49" s="2" t="s">
        <v>194</v>
      </c>
      <c r="G49" s="101">
        <f>G45+G47</f>
        <v>0</v>
      </c>
      <c r="H49" s="96"/>
      <c r="I49" s="96"/>
      <c r="J49" s="96"/>
      <c r="K49" s="101">
        <f>K45+K47</f>
        <v>0</v>
      </c>
      <c r="L49" s="96"/>
      <c r="M49" s="96"/>
    </row>
    <row r="50" spans="2:13" ht="15" thickTop="1" x14ac:dyDescent="0.3">
      <c r="G50" s="96"/>
      <c r="H50" s="96"/>
      <c r="I50" s="96"/>
      <c r="J50" s="96"/>
      <c r="K50" s="96"/>
      <c r="L50" s="96"/>
      <c r="M50" s="96"/>
    </row>
    <row r="53" spans="2:13" x14ac:dyDescent="0.3">
      <c r="B53" s="10"/>
      <c r="C53" s="10"/>
      <c r="D53" s="10"/>
    </row>
    <row r="54" spans="2:13" x14ac:dyDescent="0.3">
      <c r="B54" s="2" t="s">
        <v>1</v>
      </c>
    </row>
    <row r="55" spans="2:13" x14ac:dyDescent="0.3">
      <c r="B55" s="2" t="s">
        <v>2</v>
      </c>
    </row>
    <row r="56" spans="2:13" x14ac:dyDescent="0.3">
      <c r="B56" s="2" t="s">
        <v>3</v>
      </c>
    </row>
  </sheetData>
  <mergeCells count="2">
    <mergeCell ref="A6:M6"/>
    <mergeCell ref="A5:M5"/>
  </mergeCells>
  <pageMargins left="0.59055118110236204" right="0.196850393700787" top="0.39370078740157499" bottom="0.196850393700787" header="0.196850393700787" footer="0.196850393700787"/>
  <pageSetup paperSize="9" scale="90" firstPageNumber="8" orientation="portrait" useFirstPageNumber="1" r:id="rId1"/>
  <headerFooter>
    <oddFooter>&amp;C&amp;"-,Bold"&amp;10&amp;P&amp;R&amp;9&amp;K09-021Financial audit - interim review 2023</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BABF9-47A9-4215-A2C9-8B4871730C44}">
  <dimension ref="A6:S68"/>
  <sheetViews>
    <sheetView showGridLines="0" view="pageBreakPreview" zoomScaleNormal="100" zoomScaleSheetLayoutView="100" workbookViewId="0">
      <selection activeCell="J13" sqref="J13:M58"/>
    </sheetView>
  </sheetViews>
  <sheetFormatPr defaultRowHeight="14.4" x14ac:dyDescent="0.3"/>
  <cols>
    <col min="1" max="1" width="5" customWidth="1"/>
    <col min="5" max="5" width="1.5546875" customWidth="1"/>
    <col min="6" max="6" width="3.88671875" customWidth="1"/>
    <col min="7" max="7" width="29.33203125" customWidth="1"/>
    <col min="8" max="8" width="2.109375" customWidth="1"/>
    <col min="9" max="9" width="12" customWidth="1"/>
    <col min="10" max="10" width="2.6640625" customWidth="1"/>
    <col min="11" max="11" width="11.33203125" customWidth="1"/>
    <col min="12" max="12" width="2.6640625" customWidth="1"/>
    <col min="13" max="13" width="11.33203125" customWidth="1"/>
    <col min="19" max="19" width="10.5546875" bestFit="1" customWidth="1"/>
  </cols>
  <sheetData>
    <row r="6" spans="1:19" ht="16.2" customHeight="1" x14ac:dyDescent="0.3">
      <c r="A6" s="250" t="s">
        <v>281</v>
      </c>
      <c r="B6" s="250"/>
      <c r="C6" s="250"/>
      <c r="D6" s="250"/>
      <c r="E6" s="250"/>
      <c r="F6" s="250"/>
      <c r="G6" s="250"/>
      <c r="H6" s="250"/>
      <c r="I6" s="250"/>
      <c r="J6" s="250"/>
      <c r="K6" s="250"/>
      <c r="L6" s="250"/>
      <c r="M6" s="250"/>
    </row>
    <row r="7" spans="1:19" ht="22.95" customHeight="1" x14ac:dyDescent="0.35">
      <c r="A7" s="250" t="s">
        <v>183</v>
      </c>
      <c r="B7" s="250"/>
      <c r="C7" s="250"/>
      <c r="D7" s="250"/>
      <c r="E7" s="250"/>
      <c r="F7" s="250"/>
      <c r="G7" s="250"/>
      <c r="H7" s="250"/>
      <c r="I7" s="250"/>
      <c r="J7" s="250"/>
      <c r="K7" s="250"/>
      <c r="L7" s="250"/>
      <c r="M7" s="250"/>
      <c r="N7" s="15"/>
      <c r="O7" s="15"/>
    </row>
    <row r="8" spans="1:19" ht="7.95" customHeight="1" x14ac:dyDescent="0.3"/>
    <row r="9" spans="1:19" x14ac:dyDescent="0.3">
      <c r="M9" s="32" t="s">
        <v>56</v>
      </c>
    </row>
    <row r="10" spans="1:19" x14ac:dyDescent="0.3">
      <c r="G10" s="5"/>
      <c r="I10" s="5"/>
      <c r="K10" s="19" t="s">
        <v>17</v>
      </c>
      <c r="L10" s="2"/>
      <c r="M10" s="19" t="s">
        <v>18</v>
      </c>
    </row>
    <row r="11" spans="1:19" x14ac:dyDescent="0.3">
      <c r="B11" s="2" t="s">
        <v>21</v>
      </c>
      <c r="G11" s="16"/>
      <c r="H11" s="17"/>
      <c r="I11" s="18"/>
      <c r="K11" s="20">
        <v>45107</v>
      </c>
      <c r="L11" s="2"/>
      <c r="M11" s="21">
        <v>44926</v>
      </c>
    </row>
    <row r="13" spans="1:19" s="8" customFormat="1" ht="15" customHeight="1" x14ac:dyDescent="0.3">
      <c r="B13" s="35" t="s">
        <v>23</v>
      </c>
      <c r="C13" s="36"/>
      <c r="D13" s="36"/>
      <c r="E13" s="36"/>
      <c r="F13" s="36"/>
      <c r="G13" s="36"/>
      <c r="H13" s="36"/>
      <c r="I13" s="37"/>
      <c r="K13" s="103"/>
      <c r="L13" s="104"/>
      <c r="M13" s="103"/>
    </row>
    <row r="14" spans="1:19" s="8" customFormat="1" ht="15" customHeight="1" x14ac:dyDescent="0.3">
      <c r="B14" s="38" t="s">
        <v>26</v>
      </c>
      <c r="I14" s="39"/>
      <c r="K14" s="103"/>
      <c r="L14" s="104"/>
      <c r="M14" s="103"/>
    </row>
    <row r="15" spans="1:19" s="8" customFormat="1" ht="15" customHeight="1" x14ac:dyDescent="0.3">
      <c r="B15" s="38" t="s">
        <v>27</v>
      </c>
      <c r="I15" s="39"/>
      <c r="K15" s="103"/>
      <c r="L15" s="104"/>
      <c r="M15" s="103"/>
    </row>
    <row r="16" spans="1:19" s="8" customFormat="1" ht="15" customHeight="1" x14ac:dyDescent="0.3">
      <c r="B16" s="38" t="s">
        <v>28</v>
      </c>
      <c r="I16" s="39"/>
      <c r="K16" s="120"/>
      <c r="L16" s="104"/>
      <c r="M16" s="103"/>
      <c r="O16" s="132"/>
      <c r="Q16" s="132"/>
      <c r="S16" s="133"/>
    </row>
    <row r="17" spans="2:13" s="8" customFormat="1" ht="15" customHeight="1" x14ac:dyDescent="0.3">
      <c r="B17" s="38" t="s">
        <v>14</v>
      </c>
      <c r="I17" s="39"/>
      <c r="K17" s="120"/>
      <c r="L17" s="104"/>
      <c r="M17" s="103"/>
    </row>
    <row r="18" spans="2:13" s="8" customFormat="1" ht="15" customHeight="1" x14ac:dyDescent="0.3">
      <c r="B18" s="38" t="s">
        <v>29</v>
      </c>
      <c r="I18" s="39"/>
      <c r="K18" s="120"/>
      <c r="L18" s="104"/>
      <c r="M18" s="103"/>
    </row>
    <row r="19" spans="2:13" s="8" customFormat="1" ht="15" customHeight="1" x14ac:dyDescent="0.3">
      <c r="B19" s="38" t="s">
        <v>45</v>
      </c>
      <c r="I19" s="39"/>
      <c r="K19" s="120"/>
      <c r="L19" s="104"/>
      <c r="M19" s="103"/>
    </row>
    <row r="20" spans="2:13" s="8" customFormat="1" ht="15" customHeight="1" x14ac:dyDescent="0.3">
      <c r="B20" s="38" t="s">
        <v>44</v>
      </c>
      <c r="I20" s="39"/>
      <c r="K20" s="120"/>
      <c r="L20" s="104"/>
      <c r="M20" s="103"/>
    </row>
    <row r="21" spans="2:13" s="8" customFormat="1" ht="15" customHeight="1" x14ac:dyDescent="0.3">
      <c r="B21" s="38" t="s">
        <v>46</v>
      </c>
      <c r="I21" s="39"/>
      <c r="K21" s="120"/>
      <c r="L21" s="104"/>
      <c r="M21" s="103"/>
    </row>
    <row r="22" spans="2:13" s="8" customFormat="1" ht="15" customHeight="1" x14ac:dyDescent="0.3">
      <c r="B22" s="38" t="s">
        <v>30</v>
      </c>
      <c r="I22" s="39"/>
      <c r="K22" s="120"/>
      <c r="L22" s="104"/>
      <c r="M22" s="103"/>
    </row>
    <row r="23" spans="2:13" s="8" customFormat="1" ht="15" customHeight="1" x14ac:dyDescent="0.3">
      <c r="B23" s="38" t="s">
        <v>31</v>
      </c>
      <c r="I23" s="39"/>
      <c r="K23" s="120"/>
      <c r="L23" s="104"/>
      <c r="M23" s="103"/>
    </row>
    <row r="24" spans="2:13" s="8" customFormat="1" ht="15" customHeight="1" x14ac:dyDescent="0.3">
      <c r="B24" s="38" t="s">
        <v>32</v>
      </c>
      <c r="G24" s="30"/>
      <c r="H24" s="30"/>
      <c r="I24" s="40"/>
      <c r="J24" s="30"/>
      <c r="K24" s="120"/>
      <c r="L24" s="106"/>
      <c r="M24" s="111"/>
    </row>
    <row r="25" spans="2:13" s="8" customFormat="1" ht="15" customHeight="1" x14ac:dyDescent="0.3">
      <c r="B25" s="38" t="s">
        <v>33</v>
      </c>
      <c r="G25" s="30"/>
      <c r="H25" s="30"/>
      <c r="I25" s="40"/>
      <c r="J25" s="30"/>
      <c r="K25" s="121"/>
      <c r="L25" s="106"/>
      <c r="M25" s="105"/>
    </row>
    <row r="26" spans="2:13" s="8" customFormat="1" ht="15" customHeight="1" x14ac:dyDescent="0.3">
      <c r="B26" s="38" t="s">
        <v>34</v>
      </c>
      <c r="G26" s="30"/>
      <c r="H26" s="30"/>
      <c r="I26" s="40"/>
      <c r="J26" s="30"/>
      <c r="K26" s="121"/>
      <c r="L26" s="106"/>
      <c r="M26" s="105"/>
    </row>
    <row r="27" spans="2:13" s="8" customFormat="1" ht="15" customHeight="1" x14ac:dyDescent="0.3">
      <c r="B27" s="38" t="s">
        <v>35</v>
      </c>
      <c r="G27" s="30"/>
      <c r="H27" s="30"/>
      <c r="I27" s="40"/>
      <c r="J27" s="30"/>
      <c r="K27" s="121"/>
      <c r="L27" s="106"/>
      <c r="M27" s="105"/>
    </row>
    <row r="28" spans="2:13" s="8" customFormat="1" ht="15" customHeight="1" x14ac:dyDescent="0.3">
      <c r="B28" s="38" t="s">
        <v>36</v>
      </c>
      <c r="I28" s="39"/>
      <c r="K28" s="120"/>
      <c r="L28" s="104"/>
      <c r="M28" s="103"/>
    </row>
    <row r="29" spans="2:13" s="8" customFormat="1" ht="15" customHeight="1" x14ac:dyDescent="0.3">
      <c r="B29" s="41" t="s">
        <v>55</v>
      </c>
      <c r="C29" s="31"/>
      <c r="D29" s="31"/>
      <c r="E29" s="31"/>
      <c r="F29" s="31"/>
      <c r="G29" s="31"/>
      <c r="H29" s="31"/>
      <c r="I29" s="42"/>
      <c r="K29" s="120"/>
      <c r="L29" s="104"/>
      <c r="M29" s="103"/>
    </row>
    <row r="30" spans="2:13" s="8" customFormat="1" ht="7.2" customHeight="1" x14ac:dyDescent="0.3">
      <c r="K30" s="122"/>
      <c r="L30" s="104"/>
      <c r="M30" s="107"/>
    </row>
    <row r="31" spans="2:13" ht="15" thickBot="1" x14ac:dyDescent="0.35">
      <c r="B31" s="30" t="s">
        <v>37</v>
      </c>
      <c r="K31" s="123"/>
      <c r="L31" s="99"/>
      <c r="M31" s="100"/>
    </row>
    <row r="32" spans="2:13" ht="9" customHeight="1" thickTop="1" x14ac:dyDescent="0.3">
      <c r="K32" s="124"/>
      <c r="L32" s="96"/>
      <c r="M32" s="96"/>
    </row>
    <row r="33" spans="2:13" x14ac:dyDescent="0.3">
      <c r="B33" s="2" t="s">
        <v>22</v>
      </c>
      <c r="K33" s="124"/>
      <c r="L33" s="96"/>
      <c r="M33" s="96"/>
    </row>
    <row r="34" spans="2:13" ht="4.95" customHeight="1" x14ac:dyDescent="0.3">
      <c r="K34" s="124"/>
      <c r="L34" s="96"/>
      <c r="M34" s="96"/>
    </row>
    <row r="35" spans="2:13" x14ac:dyDescent="0.3">
      <c r="B35" s="2" t="s">
        <v>38</v>
      </c>
      <c r="K35" s="124"/>
      <c r="L35" s="96"/>
      <c r="M35" s="96"/>
    </row>
    <row r="36" spans="2:13" ht="6" customHeight="1" x14ac:dyDescent="0.3">
      <c r="B36" s="24"/>
      <c r="C36" s="14"/>
      <c r="D36" s="14"/>
      <c r="E36" s="14"/>
      <c r="F36" s="14"/>
      <c r="G36" s="14"/>
      <c r="H36" s="14"/>
      <c r="I36" s="25"/>
      <c r="K36" s="124"/>
      <c r="L36" s="96"/>
      <c r="M36" s="96"/>
    </row>
    <row r="37" spans="2:13" x14ac:dyDescent="0.3">
      <c r="B37" s="26" t="s">
        <v>39</v>
      </c>
      <c r="I37" s="27"/>
      <c r="K37" s="125"/>
      <c r="L37" s="96"/>
      <c r="M37" s="95"/>
    </row>
    <row r="38" spans="2:13" x14ac:dyDescent="0.3">
      <c r="B38" s="26" t="s">
        <v>5</v>
      </c>
      <c r="I38" s="27"/>
      <c r="K38" s="125"/>
      <c r="L38" s="96"/>
      <c r="M38" s="95"/>
    </row>
    <row r="39" spans="2:13" x14ac:dyDescent="0.3">
      <c r="B39" s="28" t="s">
        <v>40</v>
      </c>
      <c r="C39" s="10"/>
      <c r="D39" s="10"/>
      <c r="E39" s="10"/>
      <c r="F39" s="10"/>
      <c r="G39" s="10"/>
      <c r="H39" s="10"/>
      <c r="I39" s="29"/>
      <c r="K39" s="125"/>
      <c r="L39" s="96"/>
      <c r="M39" s="95"/>
    </row>
    <row r="40" spans="2:13" ht="6" customHeight="1" x14ac:dyDescent="0.3">
      <c r="K40" s="126"/>
      <c r="L40" s="96"/>
      <c r="M40" s="108"/>
    </row>
    <row r="41" spans="2:13" ht="8.4" customHeight="1" x14ac:dyDescent="0.3">
      <c r="K41" s="124"/>
      <c r="L41" s="96"/>
      <c r="M41" s="96"/>
    </row>
    <row r="42" spans="2:13" x14ac:dyDescent="0.3">
      <c r="K42" s="127"/>
      <c r="L42" s="96"/>
      <c r="M42" s="106"/>
    </row>
    <row r="43" spans="2:13" x14ac:dyDescent="0.3">
      <c r="B43" s="2" t="s">
        <v>41</v>
      </c>
      <c r="K43" s="124"/>
      <c r="L43" s="96"/>
      <c r="M43" s="96"/>
    </row>
    <row r="44" spans="2:13" ht="6" customHeight="1" x14ac:dyDescent="0.3">
      <c r="K44" s="124"/>
      <c r="L44" s="96"/>
      <c r="M44" s="96"/>
    </row>
    <row r="45" spans="2:13" x14ac:dyDescent="0.3">
      <c r="B45" s="24" t="s">
        <v>42</v>
      </c>
      <c r="C45" s="14"/>
      <c r="D45" s="14"/>
      <c r="E45" s="14"/>
      <c r="F45" s="14"/>
      <c r="G45" s="14"/>
      <c r="H45" s="14"/>
      <c r="I45" s="25"/>
      <c r="K45" s="125"/>
      <c r="L45" s="96"/>
      <c r="M45" s="95"/>
    </row>
    <row r="46" spans="2:13" x14ac:dyDescent="0.3">
      <c r="B46" s="26" t="s">
        <v>43</v>
      </c>
      <c r="I46" s="27"/>
      <c r="K46" s="125"/>
      <c r="L46" s="96"/>
      <c r="M46" s="95"/>
    </row>
    <row r="47" spans="2:13" x14ac:dyDescent="0.3">
      <c r="B47" s="26" t="s">
        <v>47</v>
      </c>
      <c r="I47" s="27"/>
      <c r="K47" s="125"/>
      <c r="L47" s="96"/>
      <c r="M47" s="95"/>
    </row>
    <row r="48" spans="2:13" x14ac:dyDescent="0.3">
      <c r="B48" s="26" t="s">
        <v>48</v>
      </c>
      <c r="I48" s="27"/>
      <c r="K48" s="125"/>
      <c r="L48" s="96"/>
      <c r="M48" s="95"/>
    </row>
    <row r="49" spans="2:13" x14ac:dyDescent="0.3">
      <c r="B49" s="26" t="s">
        <v>49</v>
      </c>
      <c r="I49" s="27"/>
      <c r="K49" s="125"/>
      <c r="L49" s="96"/>
      <c r="M49" s="95"/>
    </row>
    <row r="50" spans="2:13" x14ac:dyDescent="0.3">
      <c r="B50" s="26" t="s">
        <v>52</v>
      </c>
      <c r="I50" s="27"/>
      <c r="K50" s="125"/>
      <c r="L50" s="96"/>
      <c r="M50" s="95"/>
    </row>
    <row r="51" spans="2:13" x14ac:dyDescent="0.3">
      <c r="B51" s="26" t="s">
        <v>50</v>
      </c>
      <c r="I51" s="27"/>
      <c r="K51" s="125"/>
      <c r="L51" s="96"/>
      <c r="M51" s="95"/>
    </row>
    <row r="52" spans="2:13" x14ac:dyDescent="0.3">
      <c r="B52" s="26" t="s">
        <v>51</v>
      </c>
      <c r="I52" s="27"/>
      <c r="K52" s="125"/>
      <c r="L52" s="96"/>
      <c r="M52" s="95"/>
    </row>
    <row r="53" spans="2:13" x14ac:dyDescent="0.3">
      <c r="B53" s="28" t="s">
        <v>54</v>
      </c>
      <c r="C53" s="10"/>
      <c r="D53" s="10"/>
      <c r="E53" s="10"/>
      <c r="F53" s="10"/>
      <c r="G53" s="10"/>
      <c r="H53" s="10"/>
      <c r="I53" s="29"/>
      <c r="K53" s="125"/>
      <c r="L53" s="96"/>
      <c r="M53" s="95"/>
    </row>
    <row r="54" spans="2:13" ht="8.4" customHeight="1" x14ac:dyDescent="0.3">
      <c r="K54" s="124"/>
      <c r="L54" s="96"/>
      <c r="M54" s="96"/>
    </row>
    <row r="55" spans="2:13" x14ac:dyDescent="0.3">
      <c r="G55" s="2"/>
      <c r="H55" s="2"/>
      <c r="I55" s="2"/>
      <c r="J55" s="2"/>
      <c r="K55" s="128"/>
      <c r="L55" s="99"/>
      <c r="M55" s="98"/>
    </row>
    <row r="56" spans="2:13" ht="6.6" customHeight="1" x14ac:dyDescent="0.3">
      <c r="K56" s="124"/>
      <c r="L56" s="96"/>
      <c r="M56" s="96"/>
    </row>
    <row r="57" spans="2:13" ht="15" thickBot="1" x14ac:dyDescent="0.35">
      <c r="B57" s="2" t="s">
        <v>53</v>
      </c>
      <c r="K57" s="123"/>
      <c r="L57" s="96"/>
      <c r="M57" s="100"/>
    </row>
    <row r="58" spans="2:13" ht="15" thickTop="1" x14ac:dyDescent="0.3">
      <c r="B58" s="2"/>
      <c r="K58" s="129"/>
      <c r="L58" s="96"/>
      <c r="M58" s="99"/>
    </row>
    <row r="59" spans="2:13" x14ac:dyDescent="0.3">
      <c r="B59" s="2"/>
      <c r="K59" s="109"/>
      <c r="L59" s="110"/>
      <c r="M59" s="109"/>
    </row>
    <row r="62" spans="2:13" x14ac:dyDescent="0.3">
      <c r="B62" s="10"/>
      <c r="C62" s="10"/>
      <c r="D62" s="10"/>
    </row>
    <row r="63" spans="2:13" x14ac:dyDescent="0.3">
      <c r="B63" s="2" t="s">
        <v>1</v>
      </c>
    </row>
    <row r="64" spans="2:13" x14ac:dyDescent="0.3">
      <c r="B64" s="2" t="s">
        <v>2</v>
      </c>
    </row>
    <row r="65" spans="2:13" x14ac:dyDescent="0.3">
      <c r="B65" s="2" t="s">
        <v>3</v>
      </c>
    </row>
    <row r="67" spans="2:13" x14ac:dyDescent="0.3">
      <c r="K67" s="110">
        <f>K57-K31</f>
        <v>0</v>
      </c>
      <c r="M67" s="110">
        <f>M57-M31</f>
        <v>0</v>
      </c>
    </row>
    <row r="68" spans="2:13" x14ac:dyDescent="0.3">
      <c r="K68" s="146">
        <f>K57-K31</f>
        <v>0</v>
      </c>
      <c r="M68" s="146">
        <f>M57-M31</f>
        <v>0</v>
      </c>
    </row>
  </sheetData>
  <mergeCells count="2">
    <mergeCell ref="A7:M7"/>
    <mergeCell ref="A6:M6"/>
  </mergeCells>
  <pageMargins left="0.59055118110236204" right="0.196850393700787" top="0.39370078740157499" bottom="0.118110236220472" header="0.196850393700787" footer="0.196850393700787"/>
  <pageSetup paperSize="9" scale="86" firstPageNumber="9" orientation="portrait" useFirstPageNumber="1" r:id="rId1"/>
  <headerFooter>
    <oddFooter>&amp;C&amp;"-,Bold"&amp;10&amp;P&amp;R&amp;9&amp;K09-021Financial audit - interim review 2023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53BF0-BC89-48C3-9413-722D69176FCC}">
  <dimension ref="A6:P31"/>
  <sheetViews>
    <sheetView showGridLines="0" view="pageBreakPreview" topLeftCell="A16" zoomScaleNormal="100" zoomScaleSheetLayoutView="100" workbookViewId="0">
      <selection activeCell="K23" sqref="K23"/>
    </sheetView>
  </sheetViews>
  <sheetFormatPr defaultRowHeight="14.4" x14ac:dyDescent="0.3"/>
  <cols>
    <col min="1" max="1" width="5" customWidth="1"/>
    <col min="2" max="3" width="6.6640625" customWidth="1"/>
    <col min="4" max="4" width="1.6640625" customWidth="1"/>
    <col min="5" max="5" width="13.33203125" customWidth="1"/>
    <col min="6" max="6" width="1.6640625" customWidth="1"/>
    <col min="7" max="7" width="13.33203125" customWidth="1"/>
    <col min="8" max="8" width="1.6640625" customWidth="1"/>
    <col min="9" max="9" width="13.33203125" customWidth="1"/>
    <col min="10" max="10" width="1.6640625" customWidth="1"/>
    <col min="11" max="11" width="13.33203125" customWidth="1"/>
    <col min="12" max="12" width="1.6640625" customWidth="1"/>
    <col min="13" max="13" width="13.33203125" customWidth="1"/>
  </cols>
  <sheetData>
    <row r="6" spans="1:16" ht="20.100000000000001" customHeight="1" x14ac:dyDescent="0.3">
      <c r="A6" s="250" t="s">
        <v>280</v>
      </c>
      <c r="B6" s="250"/>
      <c r="C6" s="250"/>
      <c r="D6" s="250"/>
      <c r="E6" s="250"/>
      <c r="F6" s="250"/>
      <c r="G6" s="250"/>
      <c r="H6" s="250"/>
      <c r="I6" s="250"/>
      <c r="J6" s="250"/>
      <c r="K6" s="250"/>
      <c r="L6" s="250"/>
      <c r="M6" s="250"/>
    </row>
    <row r="7" spans="1:16" ht="20.100000000000001" customHeight="1" x14ac:dyDescent="0.35">
      <c r="A7" s="250" t="s">
        <v>208</v>
      </c>
      <c r="B7" s="250"/>
      <c r="C7" s="250"/>
      <c r="D7" s="250"/>
      <c r="E7" s="250"/>
      <c r="F7" s="250"/>
      <c r="G7" s="250"/>
      <c r="H7" s="250"/>
      <c r="I7" s="250"/>
      <c r="J7" s="250"/>
      <c r="K7" s="250"/>
      <c r="L7" s="250"/>
      <c r="M7" s="250"/>
      <c r="N7" s="15"/>
      <c r="O7" s="15"/>
    </row>
    <row r="10" spans="1:16" ht="31.2" customHeight="1" x14ac:dyDescent="0.3">
      <c r="B10" s="259" t="s">
        <v>133</v>
      </c>
      <c r="C10" s="260"/>
      <c r="E10" s="258" t="s">
        <v>193</v>
      </c>
      <c r="G10" s="254" t="s">
        <v>134</v>
      </c>
      <c r="H10" s="2"/>
      <c r="I10" s="254" t="s">
        <v>135</v>
      </c>
      <c r="J10" s="2"/>
      <c r="K10" s="256" t="s">
        <v>69</v>
      </c>
      <c r="L10" s="2"/>
      <c r="M10" s="258" t="s">
        <v>194</v>
      </c>
      <c r="O10" t="s">
        <v>182</v>
      </c>
    </row>
    <row r="11" spans="1:16" ht="19.5" customHeight="1" x14ac:dyDescent="0.3">
      <c r="B11" s="261"/>
      <c r="C11" s="262"/>
      <c r="E11" s="255"/>
      <c r="G11" s="255"/>
      <c r="H11" s="3"/>
      <c r="I11" s="255"/>
      <c r="J11" s="2"/>
      <c r="K11" s="257"/>
      <c r="L11" s="2"/>
      <c r="M11" s="255"/>
    </row>
    <row r="12" spans="1:16" ht="9.9" customHeight="1" x14ac:dyDescent="0.3">
      <c r="B12" s="2"/>
      <c r="G12" s="53"/>
      <c r="H12" s="3"/>
      <c r="I12" s="49"/>
      <c r="J12" s="2"/>
      <c r="K12" s="53"/>
      <c r="L12" s="2"/>
      <c r="M12" s="49"/>
    </row>
    <row r="13" spans="1:16" s="8" customFormat="1" ht="31.2" customHeight="1" x14ac:dyDescent="0.3">
      <c r="A13" s="70"/>
      <c r="B13" s="251" t="s">
        <v>195</v>
      </c>
      <c r="C13" s="253"/>
      <c r="E13" s="102">
        <v>0</v>
      </c>
      <c r="G13" s="33"/>
      <c r="I13" s="33"/>
      <c r="K13" s="102">
        <v>0</v>
      </c>
      <c r="M13" s="142">
        <f>E13-K13</f>
        <v>0</v>
      </c>
      <c r="O13" s="8">
        <v>1</v>
      </c>
      <c r="P13" s="8" t="s">
        <v>197</v>
      </c>
    </row>
    <row r="14" spans="1:16" s="8" customFormat="1" ht="15" customHeight="1" x14ac:dyDescent="0.3">
      <c r="A14" s="70">
        <v>1</v>
      </c>
      <c r="B14" s="57"/>
      <c r="C14" s="90"/>
      <c r="E14" s="33"/>
      <c r="G14" s="45"/>
      <c r="I14" s="45"/>
      <c r="K14" s="33"/>
      <c r="M14" s="102">
        <f>M13+G14-K14</f>
        <v>0</v>
      </c>
    </row>
    <row r="15" spans="1:16" s="8" customFormat="1" ht="15" customHeight="1" x14ac:dyDescent="0.3">
      <c r="A15" s="70">
        <v>2</v>
      </c>
      <c r="B15" s="57"/>
      <c r="C15" s="90"/>
      <c r="E15" s="33"/>
      <c r="G15" s="33"/>
      <c r="I15" s="33"/>
      <c r="K15" s="33"/>
      <c r="M15" s="102">
        <f t="shared" ref="M15:M20" si="0">M14+G15-K15</f>
        <v>0</v>
      </c>
    </row>
    <row r="16" spans="1:16" s="8" customFormat="1" ht="15" customHeight="1" x14ac:dyDescent="0.3">
      <c r="A16" s="70">
        <v>3</v>
      </c>
      <c r="B16" s="57"/>
      <c r="C16" s="90"/>
      <c r="E16" s="33"/>
      <c r="G16" s="33"/>
      <c r="I16" s="33"/>
      <c r="K16" s="33"/>
      <c r="M16" s="102">
        <f t="shared" si="0"/>
        <v>0</v>
      </c>
    </row>
    <row r="17" spans="1:13" s="8" customFormat="1" ht="15" customHeight="1" x14ac:dyDescent="0.3">
      <c r="A17" s="70">
        <v>4</v>
      </c>
      <c r="B17" s="57"/>
      <c r="C17" s="90"/>
      <c r="E17" s="33"/>
      <c r="G17" s="33"/>
      <c r="I17" s="33"/>
      <c r="K17" s="33"/>
      <c r="M17" s="102">
        <f t="shared" si="0"/>
        <v>0</v>
      </c>
    </row>
    <row r="18" spans="1:13" s="8" customFormat="1" ht="15" customHeight="1" x14ac:dyDescent="0.3">
      <c r="A18" s="70">
        <v>5</v>
      </c>
      <c r="B18" s="57"/>
      <c r="C18" s="90"/>
      <c r="E18" s="33"/>
      <c r="G18" s="33"/>
      <c r="I18" s="33"/>
      <c r="K18" s="33"/>
      <c r="M18" s="102">
        <f t="shared" si="0"/>
        <v>0</v>
      </c>
    </row>
    <row r="19" spans="1:13" s="8" customFormat="1" ht="15" customHeight="1" x14ac:dyDescent="0.3">
      <c r="A19" s="70">
        <v>6</v>
      </c>
      <c r="B19" s="57"/>
      <c r="C19" s="90"/>
      <c r="E19" s="33"/>
      <c r="G19" s="33"/>
      <c r="I19" s="33"/>
      <c r="K19" s="33"/>
      <c r="M19" s="102">
        <f t="shared" si="0"/>
        <v>0</v>
      </c>
    </row>
    <row r="20" spans="1:13" s="8" customFormat="1" ht="15" customHeight="1" x14ac:dyDescent="0.3">
      <c r="A20" s="70">
        <v>7</v>
      </c>
      <c r="B20" s="57"/>
      <c r="C20" s="90"/>
      <c r="E20" s="33"/>
      <c r="G20" s="34"/>
      <c r="I20" s="34"/>
      <c r="J20" s="30"/>
      <c r="K20" s="34"/>
      <c r="L20" s="30"/>
      <c r="M20" s="102">
        <f t="shared" si="0"/>
        <v>0</v>
      </c>
    </row>
    <row r="21" spans="1:13" s="8" customFormat="1" ht="15" customHeight="1" x14ac:dyDescent="0.3">
      <c r="A21" s="70">
        <v>8</v>
      </c>
      <c r="B21" s="57"/>
      <c r="C21" s="90"/>
      <c r="E21" s="33"/>
      <c r="G21" s="33"/>
      <c r="I21" s="33"/>
      <c r="K21" s="33"/>
      <c r="M21" s="102">
        <f>M20+G21-K21</f>
        <v>0</v>
      </c>
    </row>
    <row r="22" spans="1:13" s="8" customFormat="1" ht="15" customHeight="1" x14ac:dyDescent="0.3">
      <c r="A22" s="70"/>
      <c r="B22" s="251" t="s">
        <v>196</v>
      </c>
      <c r="C22" s="252"/>
      <c r="E22" s="33"/>
      <c r="G22" s="33"/>
      <c r="I22" s="33"/>
      <c r="K22" s="33"/>
      <c r="M22" s="142">
        <f>M21</f>
        <v>0</v>
      </c>
    </row>
    <row r="23" spans="1:13" s="8" customFormat="1" ht="15" customHeight="1" x14ac:dyDescent="0.3"/>
    <row r="24" spans="1:13" x14ac:dyDescent="0.3">
      <c r="B24" s="2" t="s">
        <v>136</v>
      </c>
      <c r="E24" s="2"/>
      <c r="F24" s="2"/>
      <c r="G24" s="141">
        <f>SUM(G13:G22)</f>
        <v>0</v>
      </c>
      <c r="H24" s="2"/>
      <c r="I24" s="141">
        <f>SUM(I13:I22)</f>
        <v>0</v>
      </c>
      <c r="J24" s="141"/>
      <c r="K24" s="141">
        <f>SUM(K13:K22)</f>
        <v>0</v>
      </c>
      <c r="L24" s="2"/>
      <c r="M24" s="2"/>
    </row>
    <row r="28" spans="1:13" x14ac:dyDescent="0.3">
      <c r="B28" s="10"/>
      <c r="C28" s="10"/>
      <c r="D28" s="10"/>
      <c r="E28" s="10"/>
    </row>
    <row r="29" spans="1:13" x14ac:dyDescent="0.3">
      <c r="B29" s="2" t="s">
        <v>1</v>
      </c>
    </row>
    <row r="30" spans="1:13" x14ac:dyDescent="0.3">
      <c r="B30" s="2" t="s">
        <v>2</v>
      </c>
    </row>
    <row r="31" spans="1:13" x14ac:dyDescent="0.3">
      <c r="B31" s="2" t="s">
        <v>3</v>
      </c>
    </row>
  </sheetData>
  <mergeCells count="10">
    <mergeCell ref="B22:C22"/>
    <mergeCell ref="B13:C13"/>
    <mergeCell ref="A6:M6"/>
    <mergeCell ref="A7:M7"/>
    <mergeCell ref="G10:G11"/>
    <mergeCell ref="I10:I11"/>
    <mergeCell ref="K10:K11"/>
    <mergeCell ref="M10:M11"/>
    <mergeCell ref="E10:E11"/>
    <mergeCell ref="B10:C11"/>
  </mergeCells>
  <pageMargins left="0.59055118110236204" right="0.196850393700787" top="0.39370078740157499" bottom="0.196850393700787" header="0.196850393700787" footer="0.196850393700787"/>
  <pageSetup paperSize="9" firstPageNumber="10" orientation="portrait" useFirstPageNumber="1" r:id="rId1"/>
  <headerFooter>
    <oddFooter>&amp;C&amp;"-,Bold"&amp;10&amp;P&amp;R&amp;9&amp;K09-021Financial audit - interim review 2023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86F8D-389F-4C49-A7E3-5BBE9BB1F839}">
  <dimension ref="A1:I50"/>
  <sheetViews>
    <sheetView showGridLines="0" view="pageBreakPreview" topLeftCell="A28" zoomScaleNormal="100" zoomScaleSheetLayoutView="100" workbookViewId="0">
      <selection activeCell="F50" sqref="F49:F50"/>
    </sheetView>
  </sheetViews>
  <sheetFormatPr defaultRowHeight="14.4" x14ac:dyDescent="0.3"/>
  <cols>
    <col min="1" max="1" width="1.6640625" style="1" customWidth="1"/>
    <col min="2" max="2" width="12.33203125" customWidth="1"/>
    <col min="3" max="3" width="43.33203125" customWidth="1"/>
    <col min="4" max="4" width="11.5546875" customWidth="1"/>
    <col min="5" max="5" width="11.88671875" customWidth="1"/>
    <col min="6" max="6" width="11.33203125" customWidth="1"/>
    <col min="7" max="7" width="11.6640625" customWidth="1"/>
    <col min="9" max="9" width="22.88671875" customWidth="1"/>
  </cols>
  <sheetData>
    <row r="1" spans="1:9" ht="8.4" customHeight="1" x14ac:dyDescent="0.3"/>
    <row r="6" spans="1:9" ht="20.100000000000001" customHeight="1" x14ac:dyDescent="0.3">
      <c r="A6" s="265" t="s">
        <v>280</v>
      </c>
      <c r="B6" s="265"/>
      <c r="C6" s="265"/>
      <c r="D6" s="265"/>
      <c r="E6" s="265"/>
      <c r="F6" s="265"/>
      <c r="G6" s="265"/>
      <c r="H6" s="265"/>
      <c r="I6" s="265"/>
    </row>
    <row r="7" spans="1:9" ht="20.100000000000001" customHeight="1" x14ac:dyDescent="0.3">
      <c r="A7" s="265" t="s">
        <v>156</v>
      </c>
      <c r="B7" s="265"/>
      <c r="C7" s="265"/>
      <c r="D7" s="265"/>
      <c r="E7" s="265"/>
      <c r="F7" s="265"/>
      <c r="G7" s="265"/>
      <c r="H7" s="265"/>
      <c r="I7" s="265"/>
    </row>
    <row r="8" spans="1:9" ht="3" customHeight="1" x14ac:dyDescent="0.3"/>
    <row r="9" spans="1:9" ht="15.6" customHeight="1" x14ac:dyDescent="0.3">
      <c r="B9" s="30"/>
      <c r="D9" s="32" t="s">
        <v>146</v>
      </c>
      <c r="E9" s="266" t="s">
        <v>178</v>
      </c>
      <c r="F9" s="266"/>
      <c r="G9" s="266"/>
    </row>
    <row r="10" spans="1:9" ht="7.2" customHeight="1" x14ac:dyDescent="0.3">
      <c r="B10" s="30"/>
    </row>
    <row r="11" spans="1:9" s="8" customFormat="1" ht="17.399999999999999" customHeight="1" x14ac:dyDescent="0.3">
      <c r="A11" s="4"/>
      <c r="B11" s="44" t="s">
        <v>57</v>
      </c>
      <c r="C11" s="44" t="s">
        <v>58</v>
      </c>
      <c r="D11" s="46" t="s">
        <v>60</v>
      </c>
      <c r="E11" s="46" t="s">
        <v>60</v>
      </c>
      <c r="F11" s="46" t="s">
        <v>64</v>
      </c>
      <c r="G11" s="254" t="s">
        <v>66</v>
      </c>
      <c r="H11" s="259" t="s">
        <v>65</v>
      </c>
      <c r="I11" s="260"/>
    </row>
    <row r="12" spans="1:9" s="8" customFormat="1" x14ac:dyDescent="0.3">
      <c r="A12" s="4"/>
      <c r="B12" s="45"/>
      <c r="C12" s="45"/>
      <c r="D12" s="47" t="s">
        <v>62</v>
      </c>
      <c r="E12" s="47" t="s">
        <v>63</v>
      </c>
      <c r="F12" s="47" t="s">
        <v>63</v>
      </c>
      <c r="G12" s="255"/>
      <c r="H12" s="267"/>
      <c r="I12" s="268"/>
    </row>
    <row r="13" spans="1:9" s="8" customFormat="1" ht="4.5" customHeight="1" x14ac:dyDescent="0.3">
      <c r="A13" s="4"/>
      <c r="B13" s="4"/>
    </row>
    <row r="14" spans="1:9" s="8" customFormat="1" ht="14.4" customHeight="1" x14ac:dyDescent="0.3">
      <c r="A14" s="4"/>
      <c r="B14" s="23" t="s">
        <v>209</v>
      </c>
      <c r="C14" s="23" t="s">
        <v>210</v>
      </c>
      <c r="D14" s="102"/>
      <c r="E14" s="102"/>
      <c r="F14" s="130"/>
      <c r="G14" s="102"/>
      <c r="H14" s="263"/>
      <c r="I14" s="264"/>
    </row>
    <row r="15" spans="1:9" s="8" customFormat="1" ht="14.4" customHeight="1" x14ac:dyDescent="0.3">
      <c r="A15" s="4"/>
      <c r="B15" s="23" t="s">
        <v>211</v>
      </c>
      <c r="C15" s="23" t="s">
        <v>212</v>
      </c>
      <c r="D15" s="102"/>
      <c r="E15" s="102"/>
      <c r="F15" s="130"/>
      <c r="G15" s="102"/>
      <c r="H15" s="263"/>
      <c r="I15" s="264"/>
    </row>
    <row r="16" spans="1:9" s="8" customFormat="1" ht="14.4" customHeight="1" x14ac:dyDescent="0.3">
      <c r="A16" s="4"/>
      <c r="B16" s="23" t="s">
        <v>213</v>
      </c>
      <c r="C16" s="23" t="s">
        <v>214</v>
      </c>
      <c r="D16" s="102"/>
      <c r="E16" s="102"/>
      <c r="F16" s="130"/>
      <c r="G16" s="102"/>
      <c r="H16" s="263"/>
      <c r="I16" s="264"/>
    </row>
    <row r="17" spans="1:9" s="8" customFormat="1" ht="14.4" customHeight="1" x14ac:dyDescent="0.3">
      <c r="A17" s="4"/>
      <c r="B17" s="23" t="s">
        <v>215</v>
      </c>
      <c r="C17" s="23" t="s">
        <v>216</v>
      </c>
      <c r="D17" s="102"/>
      <c r="E17" s="102"/>
      <c r="F17" s="130"/>
      <c r="G17" s="102"/>
      <c r="H17" s="263"/>
      <c r="I17" s="264"/>
    </row>
    <row r="18" spans="1:9" s="8" customFormat="1" ht="14.4" customHeight="1" x14ac:dyDescent="0.3">
      <c r="A18" s="4"/>
      <c r="B18" s="23" t="s">
        <v>217</v>
      </c>
      <c r="C18" s="23" t="s">
        <v>218</v>
      </c>
      <c r="D18" s="102"/>
      <c r="E18" s="102"/>
      <c r="F18" s="130"/>
      <c r="G18" s="102"/>
      <c r="H18" s="263"/>
      <c r="I18" s="264"/>
    </row>
    <row r="19" spans="1:9" s="8" customFormat="1" ht="14.4" customHeight="1" x14ac:dyDescent="0.3">
      <c r="A19" s="4"/>
      <c r="B19" s="23" t="s">
        <v>219</v>
      </c>
      <c r="C19" s="23" t="s">
        <v>220</v>
      </c>
      <c r="D19" s="102"/>
      <c r="E19" s="102"/>
      <c r="F19" s="130"/>
      <c r="G19" s="102"/>
      <c r="H19" s="263"/>
      <c r="I19" s="264"/>
    </row>
    <row r="20" spans="1:9" s="8" customFormat="1" ht="14.4" customHeight="1" x14ac:dyDescent="0.3">
      <c r="A20" s="4"/>
      <c r="B20" s="23" t="s">
        <v>221</v>
      </c>
      <c r="C20" s="23" t="s">
        <v>222</v>
      </c>
      <c r="D20" s="102"/>
      <c r="E20" s="102"/>
      <c r="F20" s="130"/>
      <c r="G20" s="102"/>
      <c r="H20" s="263"/>
      <c r="I20" s="264"/>
    </row>
    <row r="21" spans="1:9" ht="14.4" customHeight="1" x14ac:dyDescent="0.3">
      <c r="B21" s="23" t="s">
        <v>223</v>
      </c>
      <c r="C21" s="23" t="s">
        <v>224</v>
      </c>
      <c r="D21" s="94"/>
      <c r="E21" s="102"/>
      <c r="F21" s="130"/>
      <c r="G21" s="102"/>
      <c r="H21" s="263"/>
      <c r="I21" s="264"/>
    </row>
    <row r="22" spans="1:9" ht="14.4" customHeight="1" x14ac:dyDescent="0.3">
      <c r="B22" s="23" t="s">
        <v>225</v>
      </c>
      <c r="C22" s="23" t="s">
        <v>226</v>
      </c>
      <c r="D22" s="94"/>
      <c r="E22" s="102"/>
      <c r="F22" s="130"/>
      <c r="G22" s="102"/>
      <c r="H22" s="263"/>
      <c r="I22" s="264"/>
    </row>
    <row r="23" spans="1:9" ht="14.4" customHeight="1" x14ac:dyDescent="0.3">
      <c r="B23" s="23" t="s">
        <v>227</v>
      </c>
      <c r="C23" s="23" t="s">
        <v>228</v>
      </c>
      <c r="D23" s="94"/>
      <c r="E23" s="102"/>
      <c r="F23" s="130"/>
      <c r="G23" s="102"/>
      <c r="H23" s="263"/>
      <c r="I23" s="264"/>
    </row>
    <row r="24" spans="1:9" ht="14.4" customHeight="1" x14ac:dyDescent="0.3">
      <c r="B24" s="23" t="s">
        <v>230</v>
      </c>
      <c r="C24" s="23" t="s">
        <v>231</v>
      </c>
      <c r="D24" s="94"/>
      <c r="E24" s="102"/>
      <c r="F24" s="130"/>
      <c r="G24" s="102"/>
      <c r="H24" s="92"/>
      <c r="I24" s="93"/>
    </row>
    <row r="25" spans="1:9" ht="14.4" customHeight="1" x14ac:dyDescent="0.3">
      <c r="B25" s="23" t="s">
        <v>229</v>
      </c>
      <c r="C25" s="23" t="s">
        <v>302</v>
      </c>
      <c r="D25" s="94"/>
      <c r="E25" s="102"/>
      <c r="F25" s="130"/>
      <c r="G25" s="102"/>
      <c r="H25" s="92"/>
      <c r="I25" s="93"/>
    </row>
    <row r="26" spans="1:9" ht="14.4" customHeight="1" x14ac:dyDescent="0.3">
      <c r="B26" s="23" t="s">
        <v>232</v>
      </c>
      <c r="C26" s="23" t="s">
        <v>233</v>
      </c>
      <c r="D26" s="94"/>
      <c r="E26" s="102"/>
      <c r="F26" s="130"/>
      <c r="G26" s="102"/>
      <c r="H26" s="92"/>
      <c r="I26" s="93"/>
    </row>
    <row r="27" spans="1:9" ht="14.4" customHeight="1" x14ac:dyDescent="0.3">
      <c r="B27" s="23" t="s">
        <v>234</v>
      </c>
      <c r="C27" s="23" t="s">
        <v>235</v>
      </c>
      <c r="D27" s="94"/>
      <c r="E27" s="102"/>
      <c r="F27" s="130"/>
      <c r="G27" s="102"/>
      <c r="H27" s="92"/>
      <c r="I27" s="93"/>
    </row>
    <row r="28" spans="1:9" ht="14.4" customHeight="1" x14ac:dyDescent="0.3">
      <c r="B28" s="23" t="s">
        <v>252</v>
      </c>
      <c r="C28" s="23" t="s">
        <v>253</v>
      </c>
      <c r="D28" s="94"/>
      <c r="E28" s="102"/>
      <c r="F28" s="130"/>
      <c r="G28" s="102"/>
      <c r="H28" s="92"/>
      <c r="I28" s="93"/>
    </row>
    <row r="29" spans="1:9" ht="14.4" customHeight="1" x14ac:dyDescent="0.3">
      <c r="B29" s="23" t="s">
        <v>236</v>
      </c>
      <c r="C29" s="23" t="s">
        <v>237</v>
      </c>
      <c r="D29" s="94"/>
      <c r="E29" s="102"/>
      <c r="F29" s="130"/>
      <c r="G29" s="102"/>
      <c r="H29" s="92"/>
      <c r="I29" s="93"/>
    </row>
    <row r="30" spans="1:9" ht="14.4" customHeight="1" x14ac:dyDescent="0.3">
      <c r="B30" s="23" t="s">
        <v>238</v>
      </c>
      <c r="C30" s="23" t="s">
        <v>239</v>
      </c>
      <c r="D30" s="94"/>
      <c r="E30" s="102"/>
      <c r="F30" s="130"/>
      <c r="G30" s="102"/>
      <c r="H30" s="92"/>
      <c r="I30" s="93"/>
    </row>
    <row r="31" spans="1:9" ht="14.4" customHeight="1" x14ac:dyDescent="0.3">
      <c r="B31" s="23" t="s">
        <v>240</v>
      </c>
      <c r="C31" s="23" t="s">
        <v>241</v>
      </c>
      <c r="D31" s="94"/>
      <c r="E31" s="102"/>
      <c r="F31" s="130"/>
      <c r="G31" s="102"/>
      <c r="H31" s="92"/>
      <c r="I31" s="93"/>
    </row>
    <row r="32" spans="1:9" ht="14.4" customHeight="1" x14ac:dyDescent="0.3">
      <c r="B32" s="23" t="s">
        <v>242</v>
      </c>
      <c r="C32" s="23" t="s">
        <v>243</v>
      </c>
      <c r="D32" s="94"/>
      <c r="E32" s="102"/>
      <c r="F32" s="130"/>
      <c r="G32" s="102"/>
      <c r="H32" s="92"/>
      <c r="I32" s="93"/>
    </row>
    <row r="33" spans="2:9" ht="14.4" customHeight="1" x14ac:dyDescent="0.3">
      <c r="B33" s="23" t="s">
        <v>244</v>
      </c>
      <c r="C33" s="23" t="s">
        <v>245</v>
      </c>
      <c r="D33" s="94"/>
      <c r="E33" s="102"/>
      <c r="F33" s="130"/>
      <c r="G33" s="102"/>
      <c r="H33" s="92"/>
      <c r="I33" s="93"/>
    </row>
    <row r="34" spans="2:9" ht="14.4" customHeight="1" x14ac:dyDescent="0.3">
      <c r="B34" s="23" t="s">
        <v>246</v>
      </c>
      <c r="C34" s="23" t="s">
        <v>247</v>
      </c>
      <c r="D34" s="94"/>
      <c r="E34" s="102"/>
      <c r="F34" s="130"/>
      <c r="G34" s="102"/>
      <c r="H34" s="92"/>
      <c r="I34" s="93"/>
    </row>
    <row r="35" spans="2:9" ht="14.4" customHeight="1" x14ac:dyDescent="0.3">
      <c r="B35" s="23" t="s">
        <v>248</v>
      </c>
      <c r="C35" s="23" t="s">
        <v>249</v>
      </c>
      <c r="D35" s="94"/>
      <c r="E35" s="102"/>
      <c r="F35" s="130"/>
      <c r="G35" s="102"/>
      <c r="H35" s="92"/>
      <c r="I35" s="93"/>
    </row>
    <row r="36" spans="2:9" ht="14.4" customHeight="1" x14ac:dyDescent="0.3">
      <c r="B36" s="23" t="s">
        <v>250</v>
      </c>
      <c r="C36" s="23" t="s">
        <v>251</v>
      </c>
      <c r="D36" s="94"/>
      <c r="E36" s="102"/>
      <c r="F36" s="130"/>
      <c r="G36" s="102"/>
      <c r="H36" s="92"/>
      <c r="I36" s="93"/>
    </row>
    <row r="37" spans="2:9" ht="14.4" customHeight="1" x14ac:dyDescent="0.3">
      <c r="B37" s="23" t="s">
        <v>254</v>
      </c>
      <c r="C37" s="23" t="s">
        <v>255</v>
      </c>
      <c r="D37" s="94"/>
      <c r="E37" s="102"/>
      <c r="F37" s="130"/>
      <c r="G37" s="102"/>
      <c r="H37" s="92"/>
      <c r="I37" s="93"/>
    </row>
    <row r="38" spans="2:9" ht="14.4" customHeight="1" x14ac:dyDescent="0.3">
      <c r="B38" s="23" t="s">
        <v>256</v>
      </c>
      <c r="C38" s="23" t="s">
        <v>257</v>
      </c>
      <c r="D38" s="94"/>
      <c r="E38" s="102"/>
      <c r="F38" s="130"/>
      <c r="G38" s="102"/>
      <c r="H38" s="92"/>
      <c r="I38" s="93"/>
    </row>
    <row r="39" spans="2:9" ht="14.4" customHeight="1" x14ac:dyDescent="0.3">
      <c r="B39" s="23" t="s">
        <v>258</v>
      </c>
      <c r="C39" s="23" t="s">
        <v>259</v>
      </c>
      <c r="D39" s="94"/>
      <c r="E39" s="102"/>
      <c r="F39" s="130"/>
      <c r="G39" s="102"/>
      <c r="H39" s="92"/>
      <c r="I39" s="93"/>
    </row>
    <row r="40" spans="2:9" ht="14.4" customHeight="1" x14ac:dyDescent="0.3">
      <c r="B40" s="23" t="s">
        <v>260</v>
      </c>
      <c r="C40" s="23" t="s">
        <v>261</v>
      </c>
      <c r="D40" s="94"/>
      <c r="E40" s="102"/>
      <c r="F40" s="130"/>
      <c r="G40" s="102"/>
      <c r="H40" s="92"/>
      <c r="I40" s="93"/>
    </row>
    <row r="41" spans="2:9" ht="14.4" customHeight="1" x14ac:dyDescent="0.3">
      <c r="B41" s="23" t="s">
        <v>262</v>
      </c>
      <c r="C41" s="23" t="s">
        <v>263</v>
      </c>
      <c r="D41" s="94"/>
      <c r="E41" s="102"/>
      <c r="F41" s="130"/>
      <c r="G41" s="102"/>
      <c r="H41" s="92"/>
      <c r="I41" s="93"/>
    </row>
    <row r="42" spans="2:9" ht="3" customHeight="1" x14ac:dyDescent="0.3"/>
    <row r="43" spans="2:9" ht="15" thickBot="1" x14ac:dyDescent="0.35">
      <c r="D43" s="113"/>
      <c r="E43" s="113"/>
      <c r="F43" s="113"/>
      <c r="G43" s="113"/>
    </row>
    <row r="44" spans="2:9" ht="11.25" customHeight="1" thickTop="1" x14ac:dyDescent="0.3">
      <c r="D44" s="117"/>
    </row>
    <row r="45" spans="2:9" x14ac:dyDescent="0.3">
      <c r="B45" s="10"/>
      <c r="C45" s="10"/>
    </row>
    <row r="46" spans="2:9" x14ac:dyDescent="0.3">
      <c r="B46" s="2" t="s">
        <v>1</v>
      </c>
    </row>
    <row r="47" spans="2:9" x14ac:dyDescent="0.3">
      <c r="B47" s="2" t="s">
        <v>2</v>
      </c>
    </row>
    <row r="48" spans="2:9" x14ac:dyDescent="0.3">
      <c r="B48" s="2" t="s">
        <v>3</v>
      </c>
    </row>
    <row r="49" spans="4:6" x14ac:dyDescent="0.3">
      <c r="D49" s="117"/>
      <c r="E49" s="117"/>
      <c r="F49" s="117"/>
    </row>
    <row r="50" spans="4:6" x14ac:dyDescent="0.3">
      <c r="D50" s="117">
        <f>+D43/2</f>
        <v>0</v>
      </c>
      <c r="E50" s="117"/>
      <c r="F50" s="117"/>
    </row>
  </sheetData>
  <mergeCells count="15">
    <mergeCell ref="H22:I22"/>
    <mergeCell ref="H23:I23"/>
    <mergeCell ref="A6:I6"/>
    <mergeCell ref="E9:G9"/>
    <mergeCell ref="H21:I21"/>
    <mergeCell ref="A7:I7"/>
    <mergeCell ref="G11:G12"/>
    <mergeCell ref="H11:I12"/>
    <mergeCell ref="H14:I14"/>
    <mergeCell ref="H15:I15"/>
    <mergeCell ref="H16:I16"/>
    <mergeCell ref="H17:I17"/>
    <mergeCell ref="H18:I18"/>
    <mergeCell ref="H19:I19"/>
    <mergeCell ref="H20:I20"/>
  </mergeCells>
  <pageMargins left="0.70866141732283505" right="0.70866141732283505" top="0.74803149606299202" bottom="0.74803149606299202" header="0.31496062992126" footer="0.31496062992126"/>
  <pageSetup paperSize="9" scale="75" firstPageNumber="11" orientation="landscape" useFirstPageNumber="1" r:id="rId1"/>
  <headerFooter>
    <oddFooter>&amp;C&amp;"-,Bold"&amp;10&amp;P&amp;R&amp;9&amp;K09-047Financial audit - interim review 2023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2BF8-0CF1-4871-A7A6-9EDAAE80E73B}">
  <dimension ref="A1:L40"/>
  <sheetViews>
    <sheetView showGridLines="0" view="pageBreakPreview" topLeftCell="A9" zoomScaleNormal="100" zoomScaleSheetLayoutView="100" workbookViewId="0">
      <selection activeCell="L31" sqref="L11:L31"/>
    </sheetView>
  </sheetViews>
  <sheetFormatPr defaultRowHeight="14.4" x14ac:dyDescent="0.3"/>
  <cols>
    <col min="1" max="1" width="1.6640625" style="1" customWidth="1"/>
    <col min="2" max="2" width="12.33203125" customWidth="1"/>
    <col min="3" max="3" width="33.6640625" bestFit="1" customWidth="1"/>
    <col min="4" max="4" width="2.6640625" customWidth="1"/>
    <col min="5" max="5" width="42" customWidth="1"/>
    <col min="6" max="6" width="1.5546875" customWidth="1"/>
    <col min="7" max="7" width="26.33203125" customWidth="1"/>
    <col min="8" max="8" width="11.88671875" customWidth="1"/>
    <col min="9" max="9" width="1.5546875" customWidth="1"/>
    <col min="10" max="10" width="12.33203125" customWidth="1"/>
    <col min="11" max="11" width="10.6640625" customWidth="1"/>
    <col min="12" max="12" width="14.88671875" customWidth="1"/>
  </cols>
  <sheetData>
    <row r="1" spans="1:12" ht="8.4" customHeight="1" x14ac:dyDescent="0.3"/>
    <row r="6" spans="1:12" ht="20.100000000000001" customHeight="1" x14ac:dyDescent="0.3">
      <c r="A6" s="265" t="s">
        <v>280</v>
      </c>
      <c r="B6" s="265"/>
      <c r="C6" s="265"/>
      <c r="D6" s="265"/>
      <c r="E6" s="265"/>
      <c r="F6" s="265"/>
      <c r="G6" s="265"/>
      <c r="H6" s="265"/>
      <c r="I6" s="265"/>
      <c r="J6" s="265"/>
      <c r="K6" s="265"/>
      <c r="L6" s="265"/>
    </row>
    <row r="7" spans="1:12" ht="20.100000000000001" customHeight="1" x14ac:dyDescent="0.3">
      <c r="A7" s="265" t="s">
        <v>343</v>
      </c>
      <c r="B7" s="265"/>
      <c r="C7" s="265"/>
      <c r="D7" s="265"/>
      <c r="E7" s="265"/>
      <c r="F7" s="265"/>
      <c r="G7" s="265"/>
      <c r="H7" s="265"/>
      <c r="I7" s="265"/>
      <c r="J7" s="265"/>
      <c r="K7" s="265"/>
      <c r="L7" s="265"/>
    </row>
    <row r="8" spans="1:12" ht="10.95" customHeight="1" x14ac:dyDescent="0.3"/>
    <row r="9" spans="1:12" s="8" customFormat="1" ht="43.5" customHeight="1" x14ac:dyDescent="0.3">
      <c r="A9" s="4"/>
      <c r="B9" s="7" t="s">
        <v>57</v>
      </c>
      <c r="C9" s="7" t="s">
        <v>58</v>
      </c>
      <c r="D9" s="4"/>
      <c r="E9" s="51" t="s">
        <v>67</v>
      </c>
      <c r="F9" s="43"/>
      <c r="G9" s="271" t="s">
        <v>68</v>
      </c>
      <c r="H9" s="272"/>
      <c r="I9" s="50"/>
      <c r="J9" s="52" t="s">
        <v>340</v>
      </c>
      <c r="K9" s="52" t="s">
        <v>341</v>
      </c>
      <c r="L9" s="52" t="s">
        <v>342</v>
      </c>
    </row>
    <row r="10" spans="1:12" s="8" customFormat="1" ht="9.9" customHeight="1" x14ac:dyDescent="0.3">
      <c r="A10" s="4"/>
      <c r="E10" s="50"/>
      <c r="F10" s="43"/>
      <c r="G10" s="50"/>
      <c r="H10" s="50"/>
      <c r="I10" s="50"/>
      <c r="J10" s="50"/>
      <c r="K10" s="30"/>
      <c r="L10" s="30"/>
    </row>
    <row r="11" spans="1:12" s="8" customFormat="1" x14ac:dyDescent="0.3">
      <c r="A11" s="4"/>
      <c r="B11" s="23" t="s">
        <v>209</v>
      </c>
      <c r="C11" s="23" t="s">
        <v>210</v>
      </c>
      <c r="E11" s="33" t="s">
        <v>283</v>
      </c>
      <c r="G11" s="269" t="s">
        <v>268</v>
      </c>
      <c r="H11" s="270"/>
      <c r="J11" s="114">
        <v>44927</v>
      </c>
      <c r="K11" s="114">
        <v>45291</v>
      </c>
      <c r="L11" s="102"/>
    </row>
    <row r="12" spans="1:12" s="8" customFormat="1" ht="15" customHeight="1" x14ac:dyDescent="0.3">
      <c r="A12" s="4"/>
      <c r="B12" s="23" t="s">
        <v>211</v>
      </c>
      <c r="C12" s="23" t="s">
        <v>212</v>
      </c>
      <c r="E12" s="33" t="s">
        <v>283</v>
      </c>
      <c r="G12" s="269" t="s">
        <v>268</v>
      </c>
      <c r="H12" s="270"/>
      <c r="J12" s="114">
        <v>44927</v>
      </c>
      <c r="K12" s="114">
        <v>45291</v>
      </c>
      <c r="L12" s="102"/>
    </row>
    <row r="13" spans="1:12" s="8" customFormat="1" ht="15" customHeight="1" x14ac:dyDescent="0.3">
      <c r="A13" s="4"/>
      <c r="B13" s="23" t="s">
        <v>213</v>
      </c>
      <c r="C13" s="23" t="s">
        <v>214</v>
      </c>
      <c r="E13" s="33" t="s">
        <v>283</v>
      </c>
      <c r="G13" s="269" t="s">
        <v>268</v>
      </c>
      <c r="H13" s="270"/>
      <c r="J13" s="114">
        <v>44927</v>
      </c>
      <c r="K13" s="114">
        <v>45291</v>
      </c>
      <c r="L13" s="102"/>
    </row>
    <row r="14" spans="1:12" s="8" customFormat="1" ht="15" customHeight="1" x14ac:dyDescent="0.3">
      <c r="A14" s="4"/>
      <c r="B14" s="23" t="s">
        <v>217</v>
      </c>
      <c r="C14" s="23" t="s">
        <v>218</v>
      </c>
      <c r="E14" s="33" t="str">
        <f>+G14</f>
        <v>Dforce</v>
      </c>
      <c r="G14" s="269" t="s">
        <v>269</v>
      </c>
      <c r="H14" s="270"/>
      <c r="J14" s="114">
        <v>44927</v>
      </c>
      <c r="K14" s="114">
        <v>45291</v>
      </c>
      <c r="L14" s="102"/>
    </row>
    <row r="15" spans="1:12" s="8" customFormat="1" ht="15" customHeight="1" x14ac:dyDescent="0.3">
      <c r="A15" s="4"/>
      <c r="B15" s="23" t="s">
        <v>219</v>
      </c>
      <c r="C15" s="23" t="s">
        <v>220</v>
      </c>
      <c r="E15" s="33" t="str">
        <f>+G15</f>
        <v>Dforce</v>
      </c>
      <c r="G15" s="269" t="s">
        <v>269</v>
      </c>
      <c r="H15" s="270"/>
      <c r="J15" s="114">
        <v>44927</v>
      </c>
      <c r="K15" s="114">
        <v>45291</v>
      </c>
      <c r="L15" s="102"/>
    </row>
    <row r="16" spans="1:12" s="8" customFormat="1" ht="15" customHeight="1" x14ac:dyDescent="0.3">
      <c r="A16" s="4"/>
      <c r="B16" s="23" t="s">
        <v>221</v>
      </c>
      <c r="C16" s="23" t="s">
        <v>222</v>
      </c>
      <c r="E16" s="33" t="str">
        <f>+G16</f>
        <v>KANZ</v>
      </c>
      <c r="G16" s="269" t="s">
        <v>270</v>
      </c>
      <c r="H16" s="270"/>
      <c r="J16" s="114">
        <v>44927</v>
      </c>
      <c r="K16" s="114">
        <v>45291</v>
      </c>
      <c r="L16" s="102"/>
    </row>
    <row r="17" spans="1:12" s="8" customFormat="1" ht="15" customHeight="1" x14ac:dyDescent="0.3">
      <c r="A17" s="4"/>
      <c r="B17" s="23" t="s">
        <v>264</v>
      </c>
      <c r="C17" s="23" t="s">
        <v>266</v>
      </c>
      <c r="E17" s="33" t="str">
        <f>+G17</f>
        <v>SUEZ</v>
      </c>
      <c r="G17" s="269" t="s">
        <v>271</v>
      </c>
      <c r="H17" s="270"/>
      <c r="J17" s="114">
        <v>44927</v>
      </c>
      <c r="K17" s="114">
        <v>45291</v>
      </c>
      <c r="L17" s="102"/>
    </row>
    <row r="18" spans="1:12" s="8" customFormat="1" ht="15" customHeight="1" x14ac:dyDescent="0.3">
      <c r="A18" s="4"/>
      <c r="B18" s="23" t="s">
        <v>225</v>
      </c>
      <c r="C18" s="23" t="s">
        <v>226</v>
      </c>
      <c r="E18" s="33" t="s">
        <v>272</v>
      </c>
      <c r="G18" s="269" t="s">
        <v>272</v>
      </c>
      <c r="H18" s="270"/>
      <c r="J18" s="114">
        <v>44927</v>
      </c>
      <c r="K18" s="114">
        <v>45291</v>
      </c>
      <c r="L18" s="102"/>
    </row>
    <row r="19" spans="1:12" s="8" customFormat="1" ht="15" customHeight="1" x14ac:dyDescent="0.3">
      <c r="A19" s="4"/>
      <c r="B19" s="23" t="s">
        <v>227</v>
      </c>
      <c r="C19" s="23" t="s">
        <v>228</v>
      </c>
      <c r="E19" s="33" t="s">
        <v>273</v>
      </c>
      <c r="G19" s="269" t="s">
        <v>273</v>
      </c>
      <c r="H19" s="270"/>
      <c r="J19" s="114">
        <v>44927</v>
      </c>
      <c r="K19" s="114">
        <v>45291</v>
      </c>
      <c r="L19" s="102"/>
    </row>
    <row r="20" spans="1:12" s="8" customFormat="1" ht="15" customHeight="1" x14ac:dyDescent="0.3">
      <c r="A20" s="4"/>
      <c r="B20" s="23" t="s">
        <v>230</v>
      </c>
      <c r="C20" s="23" t="s">
        <v>231</v>
      </c>
      <c r="E20" s="33" t="s">
        <v>284</v>
      </c>
      <c r="G20" s="269" t="s">
        <v>268</v>
      </c>
      <c r="H20" s="270"/>
      <c r="J20" s="114">
        <v>44927</v>
      </c>
      <c r="K20" s="114">
        <v>45291</v>
      </c>
      <c r="L20" s="102"/>
    </row>
    <row r="21" spans="1:12" s="8" customFormat="1" ht="15" customHeight="1" x14ac:dyDescent="0.3">
      <c r="A21" s="4"/>
      <c r="B21" s="23" t="s">
        <v>232</v>
      </c>
      <c r="C21" s="23" t="s">
        <v>233</v>
      </c>
      <c r="E21" s="33" t="s">
        <v>284</v>
      </c>
      <c r="G21" s="269" t="s">
        <v>268</v>
      </c>
      <c r="H21" s="270"/>
      <c r="J21" s="114">
        <v>44927</v>
      </c>
      <c r="K21" s="114">
        <v>45291</v>
      </c>
      <c r="L21" s="102"/>
    </row>
    <row r="22" spans="1:12" s="8" customFormat="1" ht="15" customHeight="1" x14ac:dyDescent="0.3">
      <c r="A22" s="4"/>
      <c r="B22" s="23" t="s">
        <v>236</v>
      </c>
      <c r="C22" s="23" t="s">
        <v>237</v>
      </c>
      <c r="E22" s="33" t="s">
        <v>274</v>
      </c>
      <c r="G22" s="269" t="s">
        <v>274</v>
      </c>
      <c r="H22" s="270"/>
      <c r="J22" s="114">
        <v>44927</v>
      </c>
      <c r="K22" s="114">
        <v>45291</v>
      </c>
      <c r="L22" s="102"/>
    </row>
    <row r="23" spans="1:12" s="8" customFormat="1" ht="15" customHeight="1" x14ac:dyDescent="0.3">
      <c r="A23" s="4"/>
      <c r="B23" s="23" t="s">
        <v>238</v>
      </c>
      <c r="C23" s="23" t="s">
        <v>239</v>
      </c>
      <c r="E23" s="33" t="s">
        <v>288</v>
      </c>
      <c r="G23" s="269" t="s">
        <v>275</v>
      </c>
      <c r="H23" s="270"/>
      <c r="J23" s="114">
        <v>44927</v>
      </c>
      <c r="K23" s="114">
        <v>45291</v>
      </c>
      <c r="L23" s="102"/>
    </row>
    <row r="24" spans="1:12" s="8" customFormat="1" ht="15" customHeight="1" x14ac:dyDescent="0.3">
      <c r="A24" s="4"/>
      <c r="B24" s="23" t="s">
        <v>240</v>
      </c>
      <c r="C24" s="23" t="s">
        <v>241</v>
      </c>
      <c r="E24" s="33" t="s">
        <v>287</v>
      </c>
      <c r="G24" s="269" t="s">
        <v>287</v>
      </c>
      <c r="H24" s="270"/>
      <c r="J24" s="114">
        <v>44927</v>
      </c>
      <c r="K24" s="114">
        <v>45291</v>
      </c>
      <c r="L24" s="102"/>
    </row>
    <row r="25" spans="1:12" s="8" customFormat="1" ht="15" customHeight="1" x14ac:dyDescent="0.3">
      <c r="A25" s="4"/>
      <c r="B25" s="23" t="s">
        <v>265</v>
      </c>
      <c r="C25" s="23" t="s">
        <v>267</v>
      </c>
      <c r="E25" s="33" t="s">
        <v>276</v>
      </c>
      <c r="G25" s="269" t="s">
        <v>276</v>
      </c>
      <c r="H25" s="270"/>
      <c r="J25" s="114">
        <v>44927</v>
      </c>
      <c r="K25" s="114">
        <v>45291</v>
      </c>
      <c r="L25" s="102"/>
    </row>
    <row r="26" spans="1:12" ht="15" customHeight="1" x14ac:dyDescent="0.3">
      <c r="B26" s="23" t="s">
        <v>244</v>
      </c>
      <c r="C26" s="23" t="s">
        <v>245</v>
      </c>
      <c r="E26" s="23" t="s">
        <v>283</v>
      </c>
      <c r="G26" s="269" t="s">
        <v>268</v>
      </c>
      <c r="H26" s="270"/>
      <c r="J26" s="114">
        <v>44927</v>
      </c>
      <c r="K26" s="114">
        <v>45291</v>
      </c>
      <c r="L26" s="102"/>
    </row>
    <row r="27" spans="1:12" ht="15" customHeight="1" x14ac:dyDescent="0.3">
      <c r="B27" s="23" t="s">
        <v>246</v>
      </c>
      <c r="C27" s="23" t="s">
        <v>247</v>
      </c>
      <c r="E27" s="23" t="s">
        <v>283</v>
      </c>
      <c r="G27" s="269" t="s">
        <v>268</v>
      </c>
      <c r="H27" s="270"/>
      <c r="J27" s="114">
        <v>44927</v>
      </c>
      <c r="K27" s="114">
        <v>45291</v>
      </c>
      <c r="L27" s="102"/>
    </row>
    <row r="28" spans="1:12" ht="15" customHeight="1" x14ac:dyDescent="0.3">
      <c r="B28" s="23" t="s">
        <v>248</v>
      </c>
      <c r="C28" s="23" t="s">
        <v>249</v>
      </c>
      <c r="E28" s="23" t="s">
        <v>285</v>
      </c>
      <c r="G28" s="269" t="s">
        <v>277</v>
      </c>
      <c r="H28" s="270"/>
      <c r="J28" s="114">
        <v>44927</v>
      </c>
      <c r="K28" s="114">
        <v>45291</v>
      </c>
      <c r="L28" s="102"/>
    </row>
    <row r="29" spans="1:12" ht="15" customHeight="1" x14ac:dyDescent="0.3">
      <c r="B29" s="23" t="s">
        <v>250</v>
      </c>
      <c r="C29" s="23" t="s">
        <v>251</v>
      </c>
      <c r="E29" s="23" t="s">
        <v>283</v>
      </c>
      <c r="G29" s="269" t="s">
        <v>268</v>
      </c>
      <c r="H29" s="270"/>
      <c r="J29" s="114">
        <v>44927</v>
      </c>
      <c r="K29" s="114">
        <v>45291</v>
      </c>
      <c r="L29" s="102"/>
    </row>
    <row r="30" spans="1:12" ht="15" customHeight="1" x14ac:dyDescent="0.3">
      <c r="B30" s="23" t="s">
        <v>256</v>
      </c>
      <c r="C30" s="23" t="s">
        <v>257</v>
      </c>
      <c r="E30" s="23" t="s">
        <v>286</v>
      </c>
      <c r="G30" s="269" t="s">
        <v>278</v>
      </c>
      <c r="H30" s="270"/>
      <c r="J30" s="114">
        <v>44927</v>
      </c>
      <c r="K30" s="114">
        <v>45291</v>
      </c>
      <c r="L30" s="102"/>
    </row>
    <row r="31" spans="1:12" ht="15" customHeight="1" x14ac:dyDescent="0.3">
      <c r="B31" s="23" t="s">
        <v>258</v>
      </c>
      <c r="C31" s="23" t="s">
        <v>259</v>
      </c>
      <c r="E31" s="23" t="s">
        <v>279</v>
      </c>
      <c r="G31" s="269" t="s">
        <v>279</v>
      </c>
      <c r="H31" s="270"/>
      <c r="J31" s="114">
        <v>44927</v>
      </c>
      <c r="K31" s="114">
        <v>45291</v>
      </c>
      <c r="L31" s="102"/>
    </row>
    <row r="32" spans="1:12" x14ac:dyDescent="0.3">
      <c r="B32" s="2"/>
      <c r="H32" s="8"/>
      <c r="J32" s="8"/>
      <c r="K32" s="8"/>
      <c r="L32" s="8"/>
    </row>
    <row r="35" spans="2:10" x14ac:dyDescent="0.3">
      <c r="G35" s="2"/>
      <c r="H35" s="2"/>
      <c r="I35" s="2"/>
      <c r="J35" s="2"/>
    </row>
    <row r="37" spans="2:10" x14ac:dyDescent="0.3">
      <c r="B37" s="10"/>
      <c r="C37" s="10"/>
    </row>
    <row r="38" spans="2:10" x14ac:dyDescent="0.3">
      <c r="B38" s="2" t="s">
        <v>1</v>
      </c>
    </row>
    <row r="39" spans="2:10" x14ac:dyDescent="0.3">
      <c r="B39" s="2" t="s">
        <v>2</v>
      </c>
    </row>
    <row r="40" spans="2:10" x14ac:dyDescent="0.3">
      <c r="B40" s="2" t="s">
        <v>3</v>
      </c>
    </row>
  </sheetData>
  <mergeCells count="24">
    <mergeCell ref="G17:H17"/>
    <mergeCell ref="G18:H18"/>
    <mergeCell ref="G26:H26"/>
    <mergeCell ref="G27:H27"/>
    <mergeCell ref="G28:H28"/>
    <mergeCell ref="G22:H22"/>
    <mergeCell ref="G23:H23"/>
    <mergeCell ref="G24:H24"/>
    <mergeCell ref="G29:H29"/>
    <mergeCell ref="G31:H31"/>
    <mergeCell ref="G25:H25"/>
    <mergeCell ref="A6:L6"/>
    <mergeCell ref="G12:H12"/>
    <mergeCell ref="A7:L7"/>
    <mergeCell ref="G13:H13"/>
    <mergeCell ref="G30:H30"/>
    <mergeCell ref="G14:H14"/>
    <mergeCell ref="G15:H15"/>
    <mergeCell ref="G16:H16"/>
    <mergeCell ref="G9:H9"/>
    <mergeCell ref="G11:H11"/>
    <mergeCell ref="G19:H19"/>
    <mergeCell ref="G20:H20"/>
    <mergeCell ref="G21:H21"/>
  </mergeCells>
  <pageMargins left="0.39370078740157499" right="0.39370078740157499" top="0.55118110236220497" bottom="0.55118110236220497" header="0.31496062992126" footer="0.31496062992126"/>
  <pageSetup paperSize="9" scale="80" firstPageNumber="12" orientation="landscape" useFirstPageNumber="1" r:id="rId1"/>
  <headerFooter>
    <oddFooter>&amp;C&amp;"-,Bold"&amp;10&amp;P&amp;R&amp;9&amp;K09-022Financial audit - interim review 2023</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D3C47-67D7-4756-948C-8ED481E7DB79}">
  <dimension ref="A6:Q33"/>
  <sheetViews>
    <sheetView showGridLines="0" view="pageBreakPreview" zoomScaleNormal="100" zoomScaleSheetLayoutView="100" workbookViewId="0">
      <pane ySplit="9" topLeftCell="A22" activePane="bottomLeft" state="frozen"/>
      <selection activeCell="K23" sqref="K23"/>
      <selection pane="bottomLeft" activeCell="K23" sqref="K23"/>
    </sheetView>
  </sheetViews>
  <sheetFormatPr defaultRowHeight="14.4" x14ac:dyDescent="0.3"/>
  <cols>
    <col min="1" max="1" width="5" customWidth="1"/>
    <col min="2" max="3" width="16.44140625" customWidth="1"/>
    <col min="4" max="4" width="13.5546875" customWidth="1"/>
    <col min="5" max="5" width="3.33203125" customWidth="1"/>
    <col min="6" max="6" width="14.109375" customWidth="1"/>
    <col min="7" max="7" width="4.44140625" customWidth="1"/>
    <col min="8" max="8" width="13.88671875" customWidth="1"/>
    <col min="9" max="9" width="1.33203125" customWidth="1"/>
    <col min="10" max="10" width="12.5546875" customWidth="1"/>
    <col min="11" max="11" width="2.33203125" customWidth="1"/>
    <col min="12" max="12" width="13.6640625" customWidth="1"/>
    <col min="13" max="13" width="1.6640625" customWidth="1"/>
    <col min="14" max="14" width="12" customWidth="1"/>
    <col min="15" max="15" width="12.33203125" customWidth="1"/>
  </cols>
  <sheetData>
    <row r="6" spans="1:17" ht="18" customHeight="1" x14ac:dyDescent="0.3"/>
    <row r="7" spans="1:17" s="152" customFormat="1" ht="20.100000000000001" customHeight="1" x14ac:dyDescent="0.3">
      <c r="A7" s="273" t="s">
        <v>280</v>
      </c>
      <c r="B7" s="274"/>
      <c r="C7" s="274"/>
      <c r="D7" s="274"/>
      <c r="E7" s="274"/>
      <c r="F7" s="274"/>
      <c r="G7" s="274"/>
      <c r="H7" s="274"/>
      <c r="I7" s="274"/>
      <c r="J7" s="274"/>
      <c r="K7" s="274"/>
      <c r="L7" s="274"/>
      <c r="M7" s="274"/>
      <c r="N7" s="274"/>
    </row>
    <row r="8" spans="1:17" s="152" customFormat="1" ht="20.100000000000001" customHeight="1" x14ac:dyDescent="0.3">
      <c r="A8" s="275" t="s">
        <v>157</v>
      </c>
      <c r="B8" s="275"/>
      <c r="C8" s="275"/>
      <c r="D8" s="275"/>
      <c r="E8" s="275"/>
      <c r="F8" s="275"/>
      <c r="G8" s="275"/>
      <c r="H8" s="275"/>
      <c r="I8" s="275"/>
      <c r="J8" s="275"/>
      <c r="K8" s="275"/>
      <c r="L8" s="275"/>
      <c r="M8" s="275"/>
      <c r="N8" s="275"/>
      <c r="O8" s="153"/>
      <c r="P8" s="154"/>
      <c r="Q8" s="154"/>
    </row>
    <row r="9" spans="1:17" ht="9.6" customHeight="1" x14ac:dyDescent="0.3"/>
    <row r="10" spans="1:17" ht="7.2" customHeight="1" x14ac:dyDescent="0.3"/>
    <row r="11" spans="1:17" ht="18" customHeight="1" x14ac:dyDescent="0.3">
      <c r="A11" s="4"/>
      <c r="B11" s="12" t="s">
        <v>104</v>
      </c>
      <c r="C11" s="13"/>
      <c r="D11" s="13"/>
    </row>
    <row r="12" spans="1:17" ht="17.399999999999999" customHeight="1" x14ac:dyDescent="0.3">
      <c r="B12" t="s">
        <v>107</v>
      </c>
      <c r="C12" s="58"/>
      <c r="E12" s="58"/>
      <c r="J12" s="59"/>
    </row>
    <row r="13" spans="1:17" x14ac:dyDescent="0.3">
      <c r="B13" s="61"/>
      <c r="C13" s="61"/>
      <c r="D13" s="61"/>
    </row>
    <row r="14" spans="1:17" x14ac:dyDescent="0.3">
      <c r="B14" s="65" t="s">
        <v>119</v>
      </c>
      <c r="C14" s="61"/>
      <c r="D14" s="61"/>
    </row>
    <row r="15" spans="1:17" x14ac:dyDescent="0.3">
      <c r="B15" s="61"/>
      <c r="C15" s="61"/>
      <c r="D15" s="61"/>
    </row>
    <row r="16" spans="1:17" x14ac:dyDescent="0.3">
      <c r="B16" s="281" t="s">
        <v>120</v>
      </c>
      <c r="C16" s="281"/>
      <c r="D16" s="281"/>
      <c r="E16" s="281"/>
      <c r="F16" s="281"/>
      <c r="G16" s="281"/>
      <c r="H16" s="281"/>
      <c r="I16" s="65"/>
      <c r="J16" s="63" t="s">
        <v>121</v>
      </c>
      <c r="K16" s="2"/>
      <c r="L16" s="63" t="s">
        <v>61</v>
      </c>
      <c r="M16" s="32"/>
      <c r="N16" s="63" t="s">
        <v>81</v>
      </c>
    </row>
    <row r="17" spans="2:15" x14ac:dyDescent="0.3">
      <c r="B17" s="61"/>
      <c r="C17" s="61"/>
      <c r="D17" s="61"/>
    </row>
    <row r="18" spans="2:15" x14ac:dyDescent="0.3">
      <c r="B18" s="282" t="s">
        <v>122</v>
      </c>
      <c r="C18" s="283"/>
      <c r="D18" s="283"/>
      <c r="E18" s="283"/>
      <c r="F18" s="283"/>
      <c r="G18" s="283"/>
      <c r="H18" s="284"/>
      <c r="I18" s="61"/>
      <c r="J18" s="23"/>
      <c r="L18" s="23"/>
      <c r="N18" s="23"/>
    </row>
    <row r="19" spans="2:15" x14ac:dyDescent="0.3">
      <c r="B19" s="282" t="s">
        <v>123</v>
      </c>
      <c r="C19" s="283"/>
      <c r="D19" s="283"/>
      <c r="E19" s="283"/>
      <c r="F19" s="283"/>
      <c r="G19" s="283"/>
      <c r="H19" s="284"/>
      <c r="I19" s="61"/>
      <c r="J19" s="23"/>
      <c r="L19" s="23"/>
      <c r="N19" s="23"/>
    </row>
    <row r="20" spans="2:15" ht="12.6" customHeight="1" x14ac:dyDescent="0.3">
      <c r="B20" s="282" t="s">
        <v>124</v>
      </c>
      <c r="C20" s="283"/>
      <c r="D20" s="283"/>
      <c r="E20" s="283"/>
      <c r="F20" s="283"/>
      <c r="G20" s="283"/>
      <c r="H20" s="284"/>
      <c r="I20" s="61"/>
      <c r="J20" s="23"/>
      <c r="L20" s="23"/>
      <c r="N20" s="23"/>
    </row>
    <row r="21" spans="2:15" x14ac:dyDescent="0.3">
      <c r="B21" s="282" t="s">
        <v>125</v>
      </c>
      <c r="C21" s="283"/>
      <c r="D21" s="283"/>
      <c r="E21" s="283"/>
      <c r="F21" s="283"/>
      <c r="G21" s="283"/>
      <c r="H21" s="284"/>
      <c r="I21" s="61"/>
      <c r="J21" s="23"/>
      <c r="L21" s="23"/>
      <c r="N21" s="23"/>
      <c r="O21" s="2"/>
    </row>
    <row r="22" spans="2:15" ht="16.2" customHeight="1" x14ac:dyDescent="0.3">
      <c r="B22" s="282" t="s">
        <v>126</v>
      </c>
      <c r="C22" s="283"/>
      <c r="D22" s="283"/>
      <c r="E22" s="283"/>
      <c r="F22" s="283"/>
      <c r="G22" s="283"/>
      <c r="H22" s="284"/>
      <c r="I22" s="61"/>
      <c r="J22" s="23"/>
      <c r="L22" s="23"/>
      <c r="N22" s="23"/>
    </row>
    <row r="23" spans="2:15" ht="16.2" customHeight="1" x14ac:dyDescent="0.3">
      <c r="B23" s="276" t="s">
        <v>127</v>
      </c>
      <c r="C23" s="277"/>
      <c r="D23" s="277"/>
      <c r="E23" s="277"/>
      <c r="F23" s="277"/>
      <c r="G23" s="277"/>
      <c r="H23" s="278"/>
      <c r="I23" s="61"/>
      <c r="J23" s="68"/>
      <c r="L23" s="23"/>
      <c r="N23" s="23"/>
    </row>
    <row r="24" spans="2:15" s="30" customFormat="1" ht="34.200000000000003" customHeight="1" x14ac:dyDescent="0.3">
      <c r="B24" s="69" t="s">
        <v>114</v>
      </c>
      <c r="C24" s="279"/>
      <c r="D24" s="279"/>
      <c r="E24" s="279"/>
      <c r="F24" s="279"/>
      <c r="G24" s="279"/>
      <c r="H24" s="279"/>
      <c r="I24" s="279"/>
      <c r="J24" s="279"/>
      <c r="K24" s="279"/>
      <c r="L24" s="280"/>
      <c r="M24" s="72"/>
      <c r="N24" s="2"/>
      <c r="O24" s="2"/>
    </row>
    <row r="25" spans="2:15" s="8" customFormat="1" ht="20.100000000000001" customHeight="1" x14ac:dyDescent="0.3">
      <c r="B25" s="61"/>
      <c r="C25" s="61"/>
      <c r="D25" s="61"/>
      <c r="E25"/>
      <c r="F25"/>
      <c r="G25"/>
      <c r="H25"/>
      <c r="I25"/>
      <c r="J25"/>
      <c r="K25"/>
      <c r="L25"/>
      <c r="M25"/>
      <c r="N25"/>
      <c r="O25"/>
    </row>
    <row r="26" spans="2:15" s="8" customFormat="1" ht="20.100000000000001" customHeight="1" x14ac:dyDescent="0.3">
      <c r="B26" s="61"/>
      <c r="C26" s="61"/>
      <c r="D26" s="61"/>
      <c r="E26"/>
      <c r="F26"/>
      <c r="G26"/>
      <c r="H26"/>
      <c r="I26"/>
      <c r="J26"/>
      <c r="K26"/>
      <c r="L26"/>
      <c r="M26"/>
      <c r="N26"/>
      <c r="O26"/>
    </row>
    <row r="27" spans="2:15" s="8" customFormat="1" ht="20.100000000000001" customHeight="1" x14ac:dyDescent="0.3">
      <c r="B27" s="61"/>
      <c r="C27" s="61"/>
      <c r="D27" s="61"/>
      <c r="E27"/>
      <c r="F27"/>
      <c r="G27"/>
      <c r="H27"/>
      <c r="I27"/>
      <c r="J27"/>
      <c r="K27"/>
      <c r="L27"/>
      <c r="M27"/>
      <c r="N27"/>
      <c r="O27"/>
    </row>
    <row r="28" spans="2:15" s="8" customFormat="1" ht="20.100000000000001" customHeight="1" x14ac:dyDescent="0.3">
      <c r="B28" s="61"/>
      <c r="C28" s="61"/>
      <c r="D28" s="61"/>
      <c r="E28"/>
      <c r="F28"/>
      <c r="G28"/>
      <c r="H28"/>
      <c r="I28"/>
      <c r="J28"/>
      <c r="K28"/>
      <c r="L28"/>
      <c r="M28"/>
      <c r="N28"/>
      <c r="O28"/>
    </row>
    <row r="29" spans="2:15" ht="20.100000000000001" customHeight="1" x14ac:dyDescent="0.3">
      <c r="B29" s="10"/>
      <c r="C29" s="10"/>
    </row>
    <row r="30" spans="2:15" ht="20.100000000000001" customHeight="1" x14ac:dyDescent="0.3">
      <c r="B30" s="2" t="s">
        <v>1</v>
      </c>
    </row>
    <row r="31" spans="2:15" ht="20.100000000000001" customHeight="1" x14ac:dyDescent="0.3">
      <c r="B31" s="2" t="s">
        <v>2</v>
      </c>
    </row>
    <row r="32" spans="2:15" ht="20.100000000000001" customHeight="1" x14ac:dyDescent="0.3">
      <c r="B32" s="2" t="s">
        <v>3</v>
      </c>
    </row>
    <row r="33" ht="20.100000000000001" customHeight="1" x14ac:dyDescent="0.3"/>
  </sheetData>
  <mergeCells count="10">
    <mergeCell ref="A7:N7"/>
    <mergeCell ref="A8:N8"/>
    <mergeCell ref="B23:H23"/>
    <mergeCell ref="C24:L24"/>
    <mergeCell ref="B16:H16"/>
    <mergeCell ref="B18:H18"/>
    <mergeCell ref="B19:H19"/>
    <mergeCell ref="B20:H20"/>
    <mergeCell ref="B21:H21"/>
    <mergeCell ref="B22:H22"/>
  </mergeCells>
  <pageMargins left="0.59055118110236204" right="0.196850393700787" top="0.39370078740157499" bottom="0.196850393700787" header="0.196850393700787" footer="0.196850393700787"/>
  <pageSetup paperSize="9" firstPageNumber="13" orientation="landscape" useFirstPageNumber="1" r:id="rId1"/>
  <headerFooter>
    <oddFooter>&amp;C&amp;"-,Bold"&amp;10&amp;P&amp;R&amp;9&amp;K09-022Financial audit - interim review 2023</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71DD7-79EE-424A-896F-599B9CBFAFE2}">
  <dimension ref="A5:O41"/>
  <sheetViews>
    <sheetView showGridLines="0" view="pageBreakPreview" zoomScaleNormal="100" zoomScaleSheetLayoutView="100" workbookViewId="0">
      <pane ySplit="7" topLeftCell="A23" activePane="bottomLeft" state="frozen"/>
      <selection activeCell="K23" sqref="K23"/>
      <selection pane="bottomLeft" activeCell="K23" sqref="K23"/>
    </sheetView>
  </sheetViews>
  <sheetFormatPr defaultRowHeight="14.4" x14ac:dyDescent="0.3"/>
  <cols>
    <col min="1" max="1" width="5" customWidth="1"/>
    <col min="2" max="3" width="16.44140625" customWidth="1"/>
    <col min="4" max="4" width="13.5546875" customWidth="1"/>
    <col min="5" max="5" width="3.33203125" customWidth="1"/>
    <col min="6" max="6" width="14.109375" customWidth="1"/>
    <col min="7" max="7" width="4.44140625" customWidth="1"/>
    <col min="8" max="8" width="13.88671875" customWidth="1"/>
    <col min="9" max="9" width="12.5546875" customWidth="1"/>
    <col min="10" max="10" width="13.5546875" customWidth="1"/>
    <col min="11" max="11" width="13.6640625" customWidth="1"/>
    <col min="12" max="12" width="2.5546875" customWidth="1"/>
    <col min="13" max="13" width="12.33203125" customWidth="1"/>
  </cols>
  <sheetData>
    <row r="5" spans="1:15" s="155" customFormat="1" ht="20.100000000000001" customHeight="1" x14ac:dyDescent="0.3">
      <c r="A5" s="275" t="s">
        <v>280</v>
      </c>
      <c r="B5" s="275"/>
      <c r="C5" s="275"/>
      <c r="D5" s="275"/>
      <c r="E5" s="275"/>
      <c r="F5" s="275"/>
      <c r="G5" s="275"/>
      <c r="H5" s="275"/>
      <c r="I5" s="275"/>
      <c r="J5" s="275"/>
      <c r="K5" s="275"/>
      <c r="L5" s="275"/>
    </row>
    <row r="6" spans="1:15" s="155" customFormat="1" ht="20.100000000000001" customHeight="1" x14ac:dyDescent="0.3">
      <c r="A6" s="275" t="s">
        <v>158</v>
      </c>
      <c r="B6" s="275"/>
      <c r="C6" s="275"/>
      <c r="D6" s="275"/>
      <c r="E6" s="275"/>
      <c r="F6" s="275"/>
      <c r="G6" s="275"/>
      <c r="H6" s="275"/>
      <c r="I6" s="275"/>
      <c r="J6" s="275"/>
      <c r="K6" s="275"/>
      <c r="L6" s="275"/>
      <c r="M6" s="156"/>
      <c r="N6" s="157"/>
      <c r="O6" s="157"/>
    </row>
    <row r="7" spans="1:15" ht="9.6" customHeight="1" x14ac:dyDescent="0.3"/>
    <row r="8" spans="1:15" ht="7.2" customHeight="1" x14ac:dyDescent="0.3"/>
    <row r="9" spans="1:15" ht="18" customHeight="1" x14ac:dyDescent="0.3">
      <c r="A9" s="4"/>
      <c r="B9" s="12" t="s">
        <v>104</v>
      </c>
      <c r="C9" s="13"/>
      <c r="D9" s="13"/>
    </row>
    <row r="10" spans="1:15" ht="14.4" customHeight="1" x14ac:dyDescent="0.3">
      <c r="B10" s="8" t="s">
        <v>106</v>
      </c>
      <c r="C10" s="8"/>
      <c r="D10" s="8"/>
      <c r="E10" s="18"/>
      <c r="F10" s="18"/>
      <c r="G10" s="18"/>
      <c r="H10" s="18"/>
      <c r="I10" s="18"/>
      <c r="K10" s="18"/>
      <c r="M10" s="18"/>
    </row>
    <row r="11" spans="1:15" ht="17.399999999999999" customHeight="1" x14ac:dyDescent="0.3">
      <c r="B11" t="s">
        <v>107</v>
      </c>
      <c r="C11" s="58"/>
      <c r="E11" s="58"/>
      <c r="I11" s="59"/>
    </row>
    <row r="12" spans="1:15" x14ac:dyDescent="0.3">
      <c r="B12" s="61"/>
      <c r="C12" s="61"/>
      <c r="D12" s="61"/>
    </row>
    <row r="13" spans="1:15" x14ac:dyDescent="0.3">
      <c r="B13" s="65" t="s">
        <v>116</v>
      </c>
      <c r="C13" s="61"/>
      <c r="D13" s="61"/>
    </row>
    <row r="14" spans="1:15" x14ac:dyDescent="0.3">
      <c r="B14" s="61"/>
      <c r="C14" s="61"/>
      <c r="D14" s="61"/>
    </row>
    <row r="15" spans="1:15" x14ac:dyDescent="0.3">
      <c r="B15" s="61"/>
      <c r="C15" s="61"/>
      <c r="D15" s="61"/>
      <c r="H15" s="297" t="s">
        <v>198</v>
      </c>
      <c r="I15" s="298"/>
      <c r="J15" s="298"/>
      <c r="K15" s="299"/>
    </row>
    <row r="16" spans="1:15" s="8" customFormat="1" ht="72" x14ac:dyDescent="0.3">
      <c r="A16" s="8" t="s">
        <v>109</v>
      </c>
      <c r="B16" s="79" t="s">
        <v>159</v>
      </c>
      <c r="C16" s="80"/>
      <c r="D16" s="80"/>
      <c r="H16" s="91" t="s">
        <v>163</v>
      </c>
      <c r="I16" s="91" t="s">
        <v>170</v>
      </c>
      <c r="J16" s="91" t="s">
        <v>161</v>
      </c>
      <c r="K16" s="91" t="s">
        <v>162</v>
      </c>
    </row>
    <row r="17" spans="1:13" x14ac:dyDescent="0.3">
      <c r="B17" s="61" t="s">
        <v>160</v>
      </c>
      <c r="C17" s="61"/>
      <c r="D17" s="61"/>
      <c r="H17" s="5" t="s">
        <v>164</v>
      </c>
      <c r="I17" s="5" t="s">
        <v>164</v>
      </c>
      <c r="J17" s="5" t="s">
        <v>164</v>
      </c>
      <c r="K17" s="5" t="s">
        <v>164</v>
      </c>
    </row>
    <row r="18" spans="1:13" x14ac:dyDescent="0.3">
      <c r="C18" s="61"/>
      <c r="D18" s="61"/>
    </row>
    <row r="19" spans="1:13" x14ac:dyDescent="0.3">
      <c r="B19" s="294"/>
      <c r="C19" s="295"/>
      <c r="D19" s="296"/>
      <c r="H19" s="23"/>
      <c r="I19" s="23"/>
      <c r="J19" s="23"/>
      <c r="K19" s="23"/>
    </row>
    <row r="20" spans="1:13" x14ac:dyDescent="0.3">
      <c r="B20" s="61"/>
      <c r="C20" s="61"/>
      <c r="D20" s="61"/>
    </row>
    <row r="21" spans="1:13" s="8" customFormat="1" x14ac:dyDescent="0.3">
      <c r="A21" s="8" t="s">
        <v>105</v>
      </c>
      <c r="B21" s="291" t="s">
        <v>117</v>
      </c>
      <c r="C21" s="291"/>
      <c r="D21" s="291"/>
      <c r="E21" s="291"/>
      <c r="F21" s="291"/>
      <c r="G21" s="291"/>
      <c r="H21" s="291"/>
      <c r="I21" s="291"/>
      <c r="J21" s="50"/>
      <c r="K21" s="74" t="s">
        <v>93</v>
      </c>
      <c r="L21" s="30"/>
    </row>
    <row r="22" spans="1:13" x14ac:dyDescent="0.3">
      <c r="B22" s="61"/>
      <c r="C22" s="61"/>
      <c r="D22" s="61"/>
    </row>
    <row r="23" spans="1:13" x14ac:dyDescent="0.3">
      <c r="B23" s="292" t="s">
        <v>109</v>
      </c>
      <c r="C23" s="292"/>
      <c r="D23" s="292"/>
      <c r="E23" s="292"/>
      <c r="F23" s="292"/>
      <c r="G23" s="292"/>
      <c r="H23" s="292"/>
      <c r="I23" s="292"/>
      <c r="K23" s="23"/>
    </row>
    <row r="24" spans="1:13" x14ac:dyDescent="0.3">
      <c r="B24" s="292" t="s">
        <v>105</v>
      </c>
      <c r="C24" s="292"/>
      <c r="D24" s="292"/>
      <c r="E24" s="292"/>
      <c r="F24" s="292"/>
      <c r="G24" s="292"/>
      <c r="H24" s="292"/>
      <c r="I24" s="292"/>
      <c r="K24" s="23"/>
    </row>
    <row r="25" spans="1:13" ht="12.6" customHeight="1" x14ac:dyDescent="0.3">
      <c r="B25" s="292" t="s">
        <v>110</v>
      </c>
      <c r="C25" s="292"/>
      <c r="D25" s="292"/>
      <c r="E25" s="292"/>
      <c r="F25" s="292"/>
      <c r="G25" s="292"/>
      <c r="H25" s="292"/>
      <c r="I25" s="292"/>
      <c r="K25" s="23"/>
    </row>
    <row r="26" spans="1:13" x14ac:dyDescent="0.3">
      <c r="B26" s="292" t="s">
        <v>111</v>
      </c>
      <c r="C26" s="292"/>
      <c r="D26" s="292"/>
      <c r="E26" s="292"/>
      <c r="F26" s="292"/>
      <c r="G26" s="292"/>
      <c r="H26" s="292"/>
      <c r="I26" s="292"/>
      <c r="K26" s="23"/>
      <c r="M26" s="2"/>
    </row>
    <row r="27" spans="1:13" ht="16.2" customHeight="1" x14ac:dyDescent="0.3">
      <c r="B27" s="292" t="s">
        <v>112</v>
      </c>
      <c r="C27" s="292"/>
      <c r="D27" s="292"/>
      <c r="E27" s="292"/>
      <c r="F27" s="292"/>
      <c r="G27" s="292"/>
      <c r="H27" s="292"/>
      <c r="I27" s="292"/>
      <c r="K27" s="23"/>
    </row>
    <row r="28" spans="1:13" ht="16.2" customHeight="1" x14ac:dyDescent="0.3">
      <c r="B28" s="292" t="s">
        <v>113</v>
      </c>
      <c r="C28" s="292"/>
      <c r="D28" s="292"/>
      <c r="E28" s="292"/>
      <c r="F28" s="292"/>
      <c r="G28" s="292"/>
      <c r="H28" s="292"/>
      <c r="I28" s="292"/>
      <c r="K28" s="23"/>
    </row>
    <row r="29" spans="1:13" s="30" customFormat="1" ht="19.2" customHeight="1" x14ac:dyDescent="0.3">
      <c r="B29" s="293" t="s">
        <v>114</v>
      </c>
      <c r="C29" s="293"/>
      <c r="D29" s="293"/>
      <c r="E29" s="293"/>
      <c r="F29" s="293"/>
      <c r="G29" s="293"/>
      <c r="H29" s="293"/>
      <c r="I29" s="293"/>
      <c r="J29" s="2"/>
      <c r="K29" s="48"/>
      <c r="L29" s="2"/>
      <c r="M29" s="2"/>
    </row>
    <row r="30" spans="1:13" s="8" customFormat="1" ht="11.4" customHeight="1" x14ac:dyDescent="0.3">
      <c r="B30" s="61"/>
      <c r="C30" s="61"/>
      <c r="D30" s="61"/>
      <c r="E30"/>
      <c r="F30"/>
      <c r="G30"/>
      <c r="H30"/>
      <c r="I30"/>
      <c r="J30"/>
      <c r="K30"/>
      <c r="L30"/>
      <c r="M30"/>
    </row>
    <row r="31" spans="1:13" s="8" customFormat="1" ht="19.2" customHeight="1" x14ac:dyDescent="0.3">
      <c r="B31" s="285" t="s">
        <v>115</v>
      </c>
      <c r="C31" s="286"/>
      <c r="D31" s="286"/>
      <c r="E31" s="286"/>
      <c r="F31" s="286"/>
      <c r="G31" s="286"/>
      <c r="H31" s="286"/>
      <c r="I31" s="286"/>
      <c r="J31" s="286"/>
      <c r="K31" s="287"/>
      <c r="L31"/>
      <c r="M31"/>
    </row>
    <row r="32" spans="1:13" s="8" customFormat="1" ht="10.199999999999999" customHeight="1" x14ac:dyDescent="0.3">
      <c r="B32" s="288"/>
      <c r="C32" s="289"/>
      <c r="D32" s="289"/>
      <c r="E32" s="289"/>
      <c r="F32" s="289"/>
      <c r="G32" s="289"/>
      <c r="H32" s="289"/>
      <c r="I32" s="289"/>
      <c r="J32" s="289"/>
      <c r="K32" s="290"/>
      <c r="L32"/>
      <c r="M32"/>
    </row>
    <row r="33" spans="2:13" s="8" customFormat="1" ht="15" customHeight="1" x14ac:dyDescent="0.3">
      <c r="B33" s="61"/>
      <c r="C33" s="61"/>
      <c r="D33" s="61"/>
      <c r="E33"/>
      <c r="F33"/>
      <c r="G33"/>
      <c r="H33"/>
      <c r="I33"/>
      <c r="J33"/>
      <c r="K33"/>
      <c r="L33"/>
      <c r="M33"/>
    </row>
    <row r="34" spans="2:13" s="8" customFormat="1" ht="15" customHeight="1" x14ac:dyDescent="0.3">
      <c r="B34" s="61"/>
      <c r="C34" s="61"/>
      <c r="D34" s="61"/>
      <c r="E34"/>
      <c r="F34"/>
      <c r="G34"/>
      <c r="H34"/>
      <c r="I34"/>
      <c r="J34"/>
      <c r="K34"/>
      <c r="L34"/>
      <c r="M34"/>
    </row>
    <row r="35" spans="2:13" s="8" customFormat="1" ht="15" customHeight="1" x14ac:dyDescent="0.3">
      <c r="B35" s="61"/>
      <c r="C35" s="61"/>
      <c r="D35" s="61"/>
      <c r="E35"/>
      <c r="F35"/>
      <c r="G35"/>
      <c r="H35"/>
      <c r="I35"/>
      <c r="J35"/>
      <c r="K35"/>
      <c r="L35"/>
      <c r="M35"/>
    </row>
    <row r="36" spans="2:13" s="8" customFormat="1" ht="15" customHeight="1" x14ac:dyDescent="0.3">
      <c r="B36" s="61"/>
      <c r="C36" s="61"/>
      <c r="D36" s="61"/>
      <c r="E36"/>
      <c r="F36"/>
      <c r="G36"/>
      <c r="H36"/>
      <c r="I36"/>
      <c r="J36"/>
      <c r="K36"/>
      <c r="L36"/>
      <c r="M36"/>
    </row>
    <row r="37" spans="2:13" s="8" customFormat="1" ht="15" customHeight="1" x14ac:dyDescent="0.3">
      <c r="B37" s="61"/>
      <c r="C37" s="61"/>
      <c r="D37" s="61"/>
      <c r="E37"/>
      <c r="F37"/>
      <c r="G37"/>
      <c r="H37"/>
      <c r="I37"/>
      <c r="J37"/>
      <c r="K37"/>
      <c r="L37"/>
      <c r="M37"/>
    </row>
    <row r="38" spans="2:13" x14ac:dyDescent="0.3">
      <c r="B38" s="10"/>
      <c r="C38" s="10"/>
    </row>
    <row r="39" spans="2:13" x14ac:dyDescent="0.3">
      <c r="B39" s="2" t="s">
        <v>1</v>
      </c>
    </row>
    <row r="40" spans="2:13" x14ac:dyDescent="0.3">
      <c r="B40" s="2" t="s">
        <v>2</v>
      </c>
    </row>
    <row r="41" spans="2:13" x14ac:dyDescent="0.3">
      <c r="B41" s="2" t="s">
        <v>3</v>
      </c>
    </row>
  </sheetData>
  <mergeCells count="13">
    <mergeCell ref="A5:L5"/>
    <mergeCell ref="B31:K32"/>
    <mergeCell ref="B21:I21"/>
    <mergeCell ref="B23:I23"/>
    <mergeCell ref="B24:I24"/>
    <mergeCell ref="B25:I25"/>
    <mergeCell ref="B26:I26"/>
    <mergeCell ref="B29:I29"/>
    <mergeCell ref="B27:I27"/>
    <mergeCell ref="B28:I28"/>
    <mergeCell ref="A6:L6"/>
    <mergeCell ref="B19:D19"/>
    <mergeCell ref="H15:K15"/>
  </mergeCells>
  <pageMargins left="0.59055118110236204" right="0.196850393700787" top="0.39370078740157499" bottom="0.196850393700787" header="0.196850393700787" footer="0.196850393700787"/>
  <pageSetup paperSize="9" scale="75" firstPageNumber="14" orientation="landscape" useFirstPageNumber="1" r:id="rId1"/>
  <headerFooter>
    <oddFooter>&amp;C&amp;"-,Bold"&amp;10&amp;P&amp;R&amp;9&amp;K09-022Financial audit - interim review 2023</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6807-36F1-473E-9ECE-ED18B187FBBE}">
  <dimension ref="A5:P27"/>
  <sheetViews>
    <sheetView showGridLines="0" view="pageBreakPreview" zoomScaleNormal="100" zoomScaleSheetLayoutView="100" workbookViewId="0">
      <pane ySplit="8" topLeftCell="A9" activePane="bottomLeft" state="frozen"/>
      <selection activeCell="K23" sqref="K23"/>
      <selection pane="bottomLeft" activeCell="F16" sqref="F14:H16"/>
    </sheetView>
  </sheetViews>
  <sheetFormatPr defaultRowHeight="14.4" x14ac:dyDescent="0.3"/>
  <cols>
    <col min="1" max="1" width="5" customWidth="1"/>
    <col min="2" max="2" width="32.33203125" customWidth="1"/>
    <col min="3" max="3" width="1.6640625" customWidth="1"/>
    <col min="4" max="4" width="25.6640625" customWidth="1"/>
    <col min="5" max="5" width="1.6640625" customWidth="1"/>
    <col min="6" max="6" width="14.109375" customWidth="1"/>
    <col min="7" max="7" width="1.6640625" customWidth="1"/>
    <col min="8" max="8" width="13.88671875" customWidth="1"/>
    <col min="9" max="9" width="1.6640625" customWidth="1"/>
    <col min="10" max="10" width="12.5546875" customWidth="1"/>
    <col min="11" max="11" width="1.6640625" customWidth="1"/>
    <col min="12" max="12" width="25.6640625" customWidth="1"/>
    <col min="13" max="13" width="2.5546875" customWidth="1"/>
    <col min="14" max="14" width="12.33203125" customWidth="1"/>
  </cols>
  <sheetData>
    <row r="5" spans="1:16" ht="5.4" customHeight="1" x14ac:dyDescent="0.3"/>
    <row r="6" spans="1:16" ht="7.2" customHeight="1" x14ac:dyDescent="0.3"/>
    <row r="7" spans="1:16" ht="23.4" customHeight="1" x14ac:dyDescent="0.35">
      <c r="A7" s="300" t="s">
        <v>199</v>
      </c>
      <c r="B7" s="301"/>
      <c r="C7" s="301"/>
      <c r="D7" s="301"/>
      <c r="E7" s="301"/>
      <c r="F7" s="301"/>
      <c r="G7" s="301"/>
      <c r="H7" s="301"/>
      <c r="I7" s="301"/>
      <c r="J7" s="301"/>
      <c r="K7" s="301"/>
      <c r="L7" s="302"/>
      <c r="M7" s="87"/>
      <c r="N7" s="87"/>
      <c r="O7" s="15"/>
      <c r="P7" s="15"/>
    </row>
    <row r="8" spans="1:16" ht="9.6" customHeight="1" x14ac:dyDescent="0.3"/>
    <row r="9" spans="1:16" ht="7.2" customHeight="1" x14ac:dyDescent="0.3"/>
    <row r="10" spans="1:16" ht="10.95" customHeight="1" x14ac:dyDescent="0.3">
      <c r="C10" s="58"/>
      <c r="E10" s="58"/>
      <c r="J10" s="59"/>
    </row>
    <row r="11" spans="1:16" ht="28.8" x14ac:dyDescent="0.3">
      <c r="B11" s="77" t="s">
        <v>59</v>
      </c>
      <c r="C11" s="65"/>
      <c r="D11" s="158" t="s">
        <v>138</v>
      </c>
      <c r="E11" s="32"/>
      <c r="F11" s="74" t="s">
        <v>61</v>
      </c>
      <c r="G11" s="32"/>
      <c r="H11" s="74" t="s">
        <v>60</v>
      </c>
      <c r="I11" s="2"/>
      <c r="J11" s="52" t="s">
        <v>139</v>
      </c>
      <c r="K11" s="2"/>
      <c r="L11" s="52" t="s">
        <v>184</v>
      </c>
      <c r="O11" t="s">
        <v>137</v>
      </c>
    </row>
    <row r="12" spans="1:16" x14ac:dyDescent="0.3">
      <c r="B12" s="65"/>
      <c r="C12" s="61"/>
      <c r="D12" s="61"/>
      <c r="F12" s="63" t="s">
        <v>93</v>
      </c>
      <c r="G12" s="32"/>
      <c r="H12" s="63" t="s">
        <v>93</v>
      </c>
      <c r="J12" s="17"/>
      <c r="O12" s="89">
        <v>1</v>
      </c>
      <c r="P12" t="s">
        <v>191</v>
      </c>
    </row>
    <row r="13" spans="1:16" x14ac:dyDescent="0.3">
      <c r="B13" s="61"/>
      <c r="C13" s="61"/>
      <c r="D13" s="61"/>
    </row>
    <row r="14" spans="1:16" s="2" customFormat="1" x14ac:dyDescent="0.3">
      <c r="B14" s="65" t="s">
        <v>171</v>
      </c>
      <c r="C14" s="65"/>
      <c r="D14" s="65"/>
      <c r="H14" s="83"/>
    </row>
    <row r="15" spans="1:16" x14ac:dyDescent="0.3">
      <c r="B15" s="61"/>
      <c r="C15" s="61"/>
      <c r="D15" s="61"/>
    </row>
    <row r="16" spans="1:16" x14ac:dyDescent="0.3">
      <c r="B16" s="75" t="s">
        <v>289</v>
      </c>
      <c r="C16" s="65"/>
      <c r="D16" s="75" t="s">
        <v>253</v>
      </c>
      <c r="E16" s="65"/>
      <c r="F16" s="131"/>
      <c r="G16" s="65"/>
      <c r="H16" s="82"/>
      <c r="I16" s="65"/>
      <c r="J16" s="63"/>
      <c r="K16" s="2"/>
      <c r="L16" s="63"/>
      <c r="M16" s="2"/>
    </row>
    <row r="17" spans="2:14" x14ac:dyDescent="0.3">
      <c r="B17" s="62"/>
      <c r="C17" s="61"/>
      <c r="D17" s="62"/>
      <c r="F17" s="23"/>
      <c r="H17" s="82"/>
      <c r="J17" s="23"/>
      <c r="L17" s="23"/>
    </row>
    <row r="18" spans="2:14" x14ac:dyDescent="0.3">
      <c r="B18" s="62"/>
      <c r="C18" s="61"/>
      <c r="D18" s="62"/>
      <c r="E18" s="61"/>
      <c r="F18" s="62"/>
      <c r="G18" s="61"/>
      <c r="H18" s="82"/>
      <c r="I18" s="61"/>
      <c r="J18" s="23"/>
      <c r="L18" s="23"/>
    </row>
    <row r="19" spans="2:14" x14ac:dyDescent="0.3">
      <c r="B19" s="62"/>
      <c r="C19" s="61"/>
      <c r="D19" s="62"/>
      <c r="E19" s="61"/>
      <c r="F19" s="62"/>
      <c r="G19" s="61"/>
      <c r="H19" s="82"/>
      <c r="I19" s="61"/>
      <c r="J19" s="23"/>
      <c r="L19" s="23"/>
    </row>
    <row r="20" spans="2:14" ht="12.6" customHeight="1" x14ac:dyDescent="0.3">
      <c r="B20" s="62"/>
      <c r="C20" s="61"/>
      <c r="D20" s="62"/>
      <c r="E20" s="61"/>
      <c r="F20" s="62"/>
      <c r="G20" s="61"/>
      <c r="H20" s="82"/>
      <c r="I20" s="61"/>
      <c r="J20" s="23"/>
      <c r="L20" s="23"/>
    </row>
    <row r="21" spans="2:14" ht="20.100000000000001" customHeight="1" x14ac:dyDescent="0.3">
      <c r="B21" s="61"/>
      <c r="C21" s="61"/>
      <c r="D21" s="61"/>
      <c r="E21" s="61"/>
      <c r="F21" s="61"/>
      <c r="G21" s="61"/>
      <c r="H21" s="61"/>
      <c r="I21" s="61"/>
      <c r="N21" s="2"/>
    </row>
    <row r="22" spans="2:14" s="8" customFormat="1" ht="20.100000000000001" customHeight="1" x14ac:dyDescent="0.3">
      <c r="B22" s="61"/>
      <c r="C22" s="61"/>
      <c r="D22" s="61"/>
      <c r="E22"/>
      <c r="F22"/>
      <c r="G22"/>
      <c r="H22"/>
      <c r="I22"/>
      <c r="J22"/>
      <c r="K22"/>
      <c r="L22"/>
      <c r="M22"/>
      <c r="N22"/>
    </row>
    <row r="23" spans="2:14" s="8" customFormat="1" ht="20.100000000000001" customHeight="1" x14ac:dyDescent="0.3">
      <c r="B23" s="61"/>
      <c r="C23" s="61"/>
      <c r="D23" s="61"/>
      <c r="E23"/>
      <c r="F23"/>
      <c r="G23"/>
      <c r="H23"/>
      <c r="I23"/>
      <c r="J23"/>
      <c r="K23"/>
      <c r="L23"/>
      <c r="M23"/>
      <c r="N23"/>
    </row>
    <row r="24" spans="2:14" ht="20.100000000000001" customHeight="1" x14ac:dyDescent="0.3">
      <c r="B24" s="10"/>
    </row>
    <row r="25" spans="2:14" ht="20.100000000000001" customHeight="1" x14ac:dyDescent="0.3">
      <c r="B25" s="2" t="s">
        <v>1</v>
      </c>
    </row>
    <row r="26" spans="2:14" x14ac:dyDescent="0.3">
      <c r="B26" s="2" t="s">
        <v>2</v>
      </c>
    </row>
    <row r="27" spans="2:14" x14ac:dyDescent="0.3">
      <c r="B27" s="2" t="s">
        <v>3</v>
      </c>
    </row>
  </sheetData>
  <mergeCells count="1">
    <mergeCell ref="A7:L7"/>
  </mergeCells>
  <pageMargins left="0.59055118110236204" right="0.196850393700787" top="0.39370078740157499" bottom="0.196850393700787" header="0.196850393700787" footer="0.196850393700787"/>
  <pageSetup paperSize="9" firstPageNumber="15" orientation="landscape" useFirstPageNumber="1" r:id="rId1"/>
  <headerFooter>
    <oddFooter>&amp;C&amp;"-,Bold"&amp;10&amp;P&amp;R&amp;9&amp;K09-022Financial audit - interim review 2023</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45E5-1486-4CAB-A16D-753865893C1A}">
  <dimension ref="A6:U83"/>
  <sheetViews>
    <sheetView showGridLines="0" view="pageBreakPreview" zoomScaleNormal="100" zoomScaleSheetLayoutView="100" workbookViewId="0">
      <pane ySplit="8" topLeftCell="A78" activePane="bottomLeft" state="frozen"/>
      <selection activeCell="K23" sqref="K23"/>
      <selection pane="bottomLeft" activeCell="K23" sqref="K23"/>
    </sheetView>
  </sheetViews>
  <sheetFormatPr defaultRowHeight="14.4" x14ac:dyDescent="0.3"/>
  <cols>
    <col min="1" max="1" width="5" customWidth="1"/>
    <col min="5" max="5" width="1.5546875" customWidth="1"/>
    <col min="6" max="6" width="1.6640625" customWidth="1"/>
    <col min="7" max="7" width="13.88671875" customWidth="1"/>
    <col min="8" max="8" width="1.6640625" customWidth="1"/>
    <col min="9" max="9" width="12" customWidth="1"/>
    <col min="10" max="10" width="1.6640625" customWidth="1"/>
    <col min="11" max="11" width="13.6640625" customWidth="1"/>
    <col min="12" max="12" width="1.6640625" customWidth="1"/>
    <col min="13" max="13" width="12.33203125" customWidth="1"/>
    <col min="21" max="21" width="17.5546875" customWidth="1"/>
  </cols>
  <sheetData>
    <row r="6" spans="1:21" ht="22.2" customHeight="1" x14ac:dyDescent="0.3">
      <c r="A6" s="310" t="s">
        <v>280</v>
      </c>
      <c r="B6" s="310"/>
      <c r="C6" s="310"/>
      <c r="D6" s="310"/>
      <c r="E6" s="310"/>
      <c r="F6" s="310"/>
      <c r="G6" s="310"/>
      <c r="H6" s="310"/>
      <c r="I6" s="310"/>
      <c r="J6" s="310"/>
      <c r="K6" s="310"/>
      <c r="L6" s="310"/>
      <c r="M6" s="310"/>
    </row>
    <row r="7" spans="1:21" ht="22.2" customHeight="1" x14ac:dyDescent="0.35">
      <c r="A7" s="310" t="s">
        <v>165</v>
      </c>
      <c r="B7" s="310"/>
      <c r="C7" s="310"/>
      <c r="D7" s="310"/>
      <c r="E7" s="310"/>
      <c r="F7" s="310"/>
      <c r="G7" s="310"/>
      <c r="H7" s="310"/>
      <c r="I7" s="310"/>
      <c r="J7" s="310"/>
      <c r="K7" s="310"/>
      <c r="L7" s="310"/>
      <c r="M7" s="310"/>
      <c r="N7" s="15"/>
      <c r="O7" s="15"/>
    </row>
    <row r="8" spans="1:21" ht="9.6" customHeight="1" x14ac:dyDescent="0.3"/>
    <row r="9" spans="1:21" ht="7.2" customHeight="1" x14ac:dyDescent="0.3"/>
    <row r="10" spans="1:21" ht="15.6" x14ac:dyDescent="0.3">
      <c r="A10" s="4">
        <v>10.1</v>
      </c>
      <c r="B10" s="12" t="s">
        <v>172</v>
      </c>
      <c r="C10" s="13"/>
      <c r="D10" s="13"/>
      <c r="P10" t="s">
        <v>137</v>
      </c>
    </row>
    <row r="11" spans="1:21" ht="6" customHeight="1" x14ac:dyDescent="0.3">
      <c r="A11" s="4"/>
      <c r="B11" s="12"/>
      <c r="C11" s="13"/>
      <c r="D11" s="13"/>
    </row>
    <row r="12" spans="1:21" ht="86.4" x14ac:dyDescent="0.3">
      <c r="B12" s="305" t="s">
        <v>71</v>
      </c>
      <c r="C12" s="306"/>
      <c r="D12" s="306"/>
      <c r="E12" s="307"/>
      <c r="G12" s="52" t="s">
        <v>173</v>
      </c>
      <c r="H12" s="2"/>
      <c r="I12" s="52" t="s">
        <v>174</v>
      </c>
      <c r="J12" s="2"/>
      <c r="K12" s="52" t="s">
        <v>70</v>
      </c>
      <c r="L12" s="2"/>
      <c r="M12" s="52" t="s">
        <v>88</v>
      </c>
      <c r="P12" s="70">
        <v>1</v>
      </c>
      <c r="Q12" s="303" t="s">
        <v>192</v>
      </c>
      <c r="R12" s="303"/>
      <c r="S12" s="303"/>
      <c r="T12" s="303"/>
      <c r="U12" s="303"/>
    </row>
    <row r="13" spans="1:21" ht="9" customHeight="1" x14ac:dyDescent="0.3"/>
    <row r="14" spans="1:21" x14ac:dyDescent="0.3">
      <c r="B14" s="312" t="s">
        <v>147</v>
      </c>
      <c r="C14" s="313"/>
      <c r="D14" s="313"/>
      <c r="E14" s="313"/>
      <c r="G14" s="23"/>
      <c r="I14" s="95">
        <v>19425</v>
      </c>
      <c r="J14" s="96"/>
      <c r="K14" s="95">
        <v>104875</v>
      </c>
      <c r="M14" s="23" t="s">
        <v>301</v>
      </c>
    </row>
    <row r="15" spans="1:21" ht="22.2" customHeight="1" x14ac:dyDescent="0.3">
      <c r="B15" s="311" t="s">
        <v>300</v>
      </c>
      <c r="C15" s="311"/>
      <c r="D15" s="311"/>
      <c r="I15" s="96"/>
      <c r="J15" s="96"/>
      <c r="K15" s="96">
        <v>0</v>
      </c>
    </row>
    <row r="16" spans="1:21" ht="15" thickBot="1" x14ac:dyDescent="0.35">
      <c r="G16" s="22">
        <f>SUM(G14:G14)</f>
        <v>0</v>
      </c>
      <c r="H16" s="2"/>
      <c r="I16" s="100">
        <f>SUM(I14:I14)</f>
        <v>19425</v>
      </c>
      <c r="J16" s="99"/>
      <c r="K16" s="100">
        <f>SUM(K14:K15)</f>
        <v>104875</v>
      </c>
      <c r="L16" s="2"/>
      <c r="M16" s="22"/>
    </row>
    <row r="17" spans="2:11" ht="7.95" customHeight="1" thickTop="1" x14ac:dyDescent="0.3"/>
    <row r="18" spans="2:11" ht="16.2" customHeight="1" x14ac:dyDescent="0.3">
      <c r="B18" s="2" t="s">
        <v>72</v>
      </c>
    </row>
    <row r="19" spans="2:11" ht="9.6" customHeight="1" x14ac:dyDescent="0.3"/>
    <row r="20" spans="2:11" s="8" customFormat="1" ht="19.2" customHeight="1" x14ac:dyDescent="0.3">
      <c r="B20" s="54" t="s">
        <v>73</v>
      </c>
      <c r="C20" s="55"/>
      <c r="D20" s="55"/>
      <c r="E20" s="55"/>
      <c r="F20" s="55"/>
      <c r="G20" s="55"/>
      <c r="H20" s="55"/>
      <c r="I20" s="56"/>
      <c r="K20" s="102">
        <v>0</v>
      </c>
    </row>
    <row r="21" spans="2:11" s="8" customFormat="1" ht="19.2" customHeight="1" x14ac:dyDescent="0.3">
      <c r="B21" s="54" t="s">
        <v>74</v>
      </c>
      <c r="C21" s="55"/>
      <c r="D21" s="55"/>
      <c r="E21" s="55"/>
      <c r="F21" s="55"/>
      <c r="G21" s="55"/>
      <c r="H21" s="55"/>
      <c r="I21" s="56"/>
      <c r="K21" s="102">
        <v>0</v>
      </c>
    </row>
    <row r="22" spans="2:11" s="8" customFormat="1" ht="19.2" customHeight="1" x14ac:dyDescent="0.3">
      <c r="B22" s="54" t="s">
        <v>75</v>
      </c>
      <c r="C22" s="55"/>
      <c r="D22" s="55"/>
      <c r="E22" s="55"/>
      <c r="F22" s="55"/>
      <c r="G22" s="55"/>
      <c r="H22" s="55"/>
      <c r="I22" s="56"/>
      <c r="K22" s="102">
        <v>0</v>
      </c>
    </row>
    <row r="23" spans="2:11" s="8" customFormat="1" ht="16.2" customHeight="1" x14ac:dyDescent="0.3">
      <c r="K23" s="159">
        <f>SUM(K20:K22)</f>
        <v>0</v>
      </c>
    </row>
    <row r="24" spans="2:11" s="8" customFormat="1" ht="4.2" customHeight="1" x14ac:dyDescent="0.3">
      <c r="K24" s="133"/>
    </row>
    <row r="25" spans="2:11" ht="18.600000000000001" customHeight="1" thickBot="1" x14ac:dyDescent="0.35">
      <c r="B25" s="30" t="s">
        <v>148</v>
      </c>
      <c r="K25" s="113">
        <f>K16+K23</f>
        <v>104875</v>
      </c>
    </row>
    <row r="26" spans="2:11" ht="11.4" customHeight="1" thickTop="1" x14ac:dyDescent="0.3"/>
    <row r="27" spans="2:11" ht="11.4" customHeight="1" x14ac:dyDescent="0.3"/>
    <row r="28" spans="2:11" ht="11.4" customHeight="1" x14ac:dyDescent="0.3"/>
    <row r="29" spans="2:11" ht="11.4" customHeight="1" x14ac:dyDescent="0.3"/>
    <row r="30" spans="2:11" ht="11.4" customHeight="1" x14ac:dyDescent="0.3"/>
    <row r="31" spans="2:11" ht="11.4" customHeight="1" x14ac:dyDescent="0.3"/>
    <row r="32" spans="2:11" ht="11.4" customHeight="1" x14ac:dyDescent="0.3">
      <c r="B32" s="10"/>
      <c r="C32" s="10"/>
    </row>
    <row r="33" spans="1:13" ht="19.95" customHeight="1" x14ac:dyDescent="0.3">
      <c r="B33" s="2" t="s">
        <v>1</v>
      </c>
    </row>
    <row r="34" spans="1:13" ht="18" customHeight="1" x14ac:dyDescent="0.3">
      <c r="B34" s="2" t="s">
        <v>2</v>
      </c>
    </row>
    <row r="35" spans="1:13" ht="16.2" customHeight="1" x14ac:dyDescent="0.3">
      <c r="B35" s="2" t="s">
        <v>3</v>
      </c>
    </row>
    <row r="36" spans="1:13" ht="11.4" customHeight="1" x14ac:dyDescent="0.3"/>
    <row r="37" spans="1:13" ht="11.4" customHeight="1" x14ac:dyDescent="0.3"/>
    <row r="38" spans="1:13" ht="11.4" customHeight="1" x14ac:dyDescent="0.3"/>
    <row r="39" spans="1:13" ht="11.4" customHeight="1" x14ac:dyDescent="0.3"/>
    <row r="40" spans="1:13" ht="11.4" customHeight="1" x14ac:dyDescent="0.3"/>
    <row r="41" spans="1:13" ht="11.4" customHeight="1" x14ac:dyDescent="0.3"/>
    <row r="42" spans="1:13" ht="11.4" customHeight="1" x14ac:dyDescent="0.3"/>
    <row r="43" spans="1:13" ht="11.4" customHeight="1" x14ac:dyDescent="0.3"/>
    <row r="44" spans="1:13" ht="11.4" customHeight="1" x14ac:dyDescent="0.3"/>
    <row r="45" spans="1:13" ht="11.4" customHeight="1" x14ac:dyDescent="0.3"/>
    <row r="46" spans="1:13" ht="15.6" x14ac:dyDescent="0.3">
      <c r="A46" s="4">
        <v>10.199999999999999</v>
      </c>
      <c r="B46" s="12" t="s">
        <v>175</v>
      </c>
      <c r="C46" s="13"/>
      <c r="D46" s="13"/>
    </row>
    <row r="47" spans="1:13" ht="9" customHeight="1" x14ac:dyDescent="0.3">
      <c r="A47" s="4"/>
      <c r="B47" s="12"/>
      <c r="C47" s="13"/>
      <c r="D47" s="13"/>
    </row>
    <row r="48" spans="1:13" ht="86.4" x14ac:dyDescent="0.3">
      <c r="B48" s="305" t="s">
        <v>71</v>
      </c>
      <c r="C48" s="306"/>
      <c r="D48" s="306"/>
      <c r="E48" s="307"/>
      <c r="G48" s="52" t="s">
        <v>173</v>
      </c>
      <c r="H48" s="2"/>
      <c r="I48" s="52" t="s">
        <v>174</v>
      </c>
      <c r="J48" s="2"/>
      <c r="K48" s="52" t="s">
        <v>70</v>
      </c>
      <c r="L48" s="2"/>
      <c r="M48" s="52" t="s">
        <v>88</v>
      </c>
    </row>
    <row r="50" spans="1:13" x14ac:dyDescent="0.3">
      <c r="B50" s="294" t="s">
        <v>147</v>
      </c>
      <c r="C50" s="308"/>
      <c r="D50" s="309"/>
      <c r="G50" s="23"/>
      <c r="I50" s="23"/>
      <c r="K50" s="23"/>
      <c r="M50" s="23"/>
    </row>
    <row r="51" spans="1:13" x14ac:dyDescent="0.3">
      <c r="B51" s="60"/>
      <c r="C51" s="5"/>
      <c r="D51" s="5"/>
    </row>
    <row r="52" spans="1:13" s="8" customFormat="1" ht="19.95" customHeight="1" x14ac:dyDescent="0.3">
      <c r="B52" s="304" t="s">
        <v>205</v>
      </c>
      <c r="C52" s="304"/>
      <c r="D52" s="304"/>
      <c r="K52" s="8">
        <v>0</v>
      </c>
    </row>
    <row r="53" spans="1:13" ht="15" thickBot="1" x14ac:dyDescent="0.35">
      <c r="G53" s="22">
        <f>SUM(G50:G50)</f>
        <v>0</v>
      </c>
      <c r="H53" s="2"/>
      <c r="I53" s="22">
        <f>SUM(I50:I50)</f>
        <v>0</v>
      </c>
      <c r="J53" s="2"/>
      <c r="K53" s="22">
        <f>SUM(K50:K52)</f>
        <v>0</v>
      </c>
      <c r="L53" s="2"/>
      <c r="M53" s="22">
        <f>SUM(M50:M50)</f>
        <v>0</v>
      </c>
    </row>
    <row r="54" spans="1:13" ht="8.4" customHeight="1" thickTop="1" x14ac:dyDescent="0.3"/>
    <row r="55" spans="1:13" x14ac:dyDescent="0.3">
      <c r="B55" s="2" t="s">
        <v>72</v>
      </c>
    </row>
    <row r="57" spans="1:13" x14ac:dyDescent="0.3">
      <c r="A57" s="8"/>
      <c r="B57" s="54" t="s">
        <v>73</v>
      </c>
      <c r="C57" s="55"/>
      <c r="D57" s="55"/>
      <c r="E57" s="55"/>
      <c r="F57" s="55"/>
      <c r="G57" s="55"/>
      <c r="H57" s="55"/>
      <c r="I57" s="56"/>
      <c r="J57" s="8"/>
      <c r="K57" s="33"/>
      <c r="L57" s="8"/>
      <c r="M57" s="8"/>
    </row>
    <row r="58" spans="1:13" x14ac:dyDescent="0.3">
      <c r="A58" s="8"/>
      <c r="B58" s="54" t="s">
        <v>74</v>
      </c>
      <c r="C58" s="55"/>
      <c r="D58" s="55"/>
      <c r="E58" s="55"/>
      <c r="F58" s="55"/>
      <c r="G58" s="55"/>
      <c r="H58" s="55"/>
      <c r="I58" s="56"/>
      <c r="J58" s="8"/>
      <c r="K58" s="33"/>
      <c r="L58" s="8"/>
      <c r="M58" s="8"/>
    </row>
    <row r="59" spans="1:13" x14ac:dyDescent="0.3">
      <c r="A59" s="8"/>
      <c r="B59" s="54" t="s">
        <v>75</v>
      </c>
      <c r="C59" s="55"/>
      <c r="D59" s="55"/>
      <c r="E59" s="55"/>
      <c r="F59" s="55"/>
      <c r="G59" s="55"/>
      <c r="H59" s="55"/>
      <c r="I59" s="56"/>
      <c r="J59" s="8"/>
      <c r="K59" s="33"/>
      <c r="L59" s="8"/>
      <c r="M59" s="8"/>
    </row>
    <row r="60" spans="1:13" x14ac:dyDescent="0.3">
      <c r="A60" s="8"/>
      <c r="B60" s="8"/>
      <c r="C60" s="8"/>
      <c r="D60" s="8"/>
      <c r="E60" s="8"/>
      <c r="F60" s="8"/>
      <c r="G60" s="8"/>
      <c r="H60" s="8"/>
      <c r="I60" s="8"/>
      <c r="J60" s="8"/>
      <c r="K60" s="30">
        <f>SUM(K57:K59)</f>
        <v>0</v>
      </c>
      <c r="L60" s="8"/>
      <c r="M60" s="8"/>
    </row>
    <row r="61" spans="1:13" x14ac:dyDescent="0.3">
      <c r="A61" s="8"/>
      <c r="B61" s="8"/>
      <c r="C61" s="8"/>
      <c r="D61" s="8"/>
      <c r="E61" s="8"/>
      <c r="F61" s="8"/>
      <c r="G61" s="8"/>
      <c r="H61" s="8"/>
      <c r="I61" s="8"/>
      <c r="J61" s="8"/>
      <c r="K61" s="8"/>
      <c r="L61" s="8"/>
      <c r="M61" s="8"/>
    </row>
    <row r="62" spans="1:13" ht="15" thickBot="1" x14ac:dyDescent="0.35">
      <c r="B62" s="30" t="s">
        <v>148</v>
      </c>
      <c r="K62" s="22">
        <f>K53+K60</f>
        <v>0</v>
      </c>
    </row>
    <row r="63" spans="1:13" ht="15" thickTop="1" x14ac:dyDescent="0.3"/>
    <row r="64" spans="1:13" s="2" customFormat="1" ht="15" thickBot="1" x14ac:dyDescent="0.35">
      <c r="B64" s="2" t="s">
        <v>149</v>
      </c>
      <c r="K64" s="22"/>
    </row>
    <row r="65" spans="1:11" ht="15" thickTop="1" x14ac:dyDescent="0.3"/>
    <row r="66" spans="1:11" s="2" customFormat="1" ht="15" thickBot="1" x14ac:dyDescent="0.35">
      <c r="B66" s="2" t="s">
        <v>108</v>
      </c>
      <c r="K66" s="22">
        <f>K62-K64</f>
        <v>0</v>
      </c>
    </row>
    <row r="67" spans="1:11" ht="15" thickTop="1" x14ac:dyDescent="0.3"/>
    <row r="69" spans="1:11" s="2" customFormat="1" x14ac:dyDescent="0.3">
      <c r="B69" s="84" t="s">
        <v>190</v>
      </c>
      <c r="C69" s="84"/>
      <c r="D69" s="84"/>
      <c r="E69" s="84"/>
      <c r="F69" s="84"/>
      <c r="G69" s="84"/>
      <c r="H69" s="84"/>
      <c r="I69" s="84"/>
      <c r="J69" s="84"/>
      <c r="K69" s="84"/>
    </row>
    <row r="71" spans="1:11" x14ac:dyDescent="0.3">
      <c r="B71" t="s">
        <v>109</v>
      </c>
    </row>
    <row r="72" spans="1:11" x14ac:dyDescent="0.3">
      <c r="B72" t="s">
        <v>105</v>
      </c>
    </row>
    <row r="73" spans="1:11" x14ac:dyDescent="0.3">
      <c r="B73" t="s">
        <v>110</v>
      </c>
    </row>
    <row r="75" spans="1:11" x14ac:dyDescent="0.3">
      <c r="A75" s="1">
        <v>10.3</v>
      </c>
      <c r="B75" t="s">
        <v>204</v>
      </c>
    </row>
    <row r="80" spans="1:11" x14ac:dyDescent="0.3">
      <c r="B80" s="10"/>
      <c r="C80" s="10"/>
    </row>
    <row r="81" spans="2:2" x14ac:dyDescent="0.3">
      <c r="B81" s="2" t="s">
        <v>1</v>
      </c>
    </row>
    <row r="82" spans="2:2" x14ac:dyDescent="0.3">
      <c r="B82" s="2" t="s">
        <v>2</v>
      </c>
    </row>
    <row r="83" spans="2:2" x14ac:dyDescent="0.3">
      <c r="B83" s="2" t="s">
        <v>3</v>
      </c>
    </row>
  </sheetData>
  <mergeCells count="9">
    <mergeCell ref="Q12:U12"/>
    <mergeCell ref="B52:D52"/>
    <mergeCell ref="B48:E48"/>
    <mergeCell ref="B50:D50"/>
    <mergeCell ref="A6:M6"/>
    <mergeCell ref="B15:D15"/>
    <mergeCell ref="A7:M7"/>
    <mergeCell ref="B12:E12"/>
    <mergeCell ref="B14:E14"/>
  </mergeCells>
  <pageMargins left="0.59055118110236204" right="0.196850393700787" top="0.39370078740157499" bottom="0.196850393700787" header="0.196850393700787" footer="0.196850393700787"/>
  <pageSetup paperSize="9" scale="99" firstPageNumber="16" orientation="portrait" useFirstPageNumber="1" r:id="rId1"/>
  <headerFooter>
    <oddFooter>&amp;C&amp;"-,Bold"&amp;10&amp;P&amp;R&amp;9&amp;K09-022Financial audit - interim review 2023</oddFooter>
  </headerFooter>
  <rowBreaks count="1" manualBreakCount="1">
    <brk id="43" max="12"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4EE5B-FC64-4E06-BD45-A92DACEB7ECB}">
  <dimension ref="A6:O84"/>
  <sheetViews>
    <sheetView showGridLines="0" view="pageBreakPreview" zoomScaleNormal="100" zoomScaleSheetLayoutView="100" workbookViewId="0">
      <pane ySplit="8" topLeftCell="A84" activePane="bottomLeft" state="frozen"/>
      <selection activeCell="K23" sqref="K23"/>
      <selection pane="bottomLeft" activeCell="K23" sqref="K23"/>
    </sheetView>
  </sheetViews>
  <sheetFormatPr defaultRowHeight="14.4" x14ac:dyDescent="0.3"/>
  <cols>
    <col min="1" max="1" width="6" customWidth="1"/>
    <col min="2" max="2" width="14.88671875" customWidth="1"/>
    <col min="3" max="3" width="16.44140625" customWidth="1"/>
    <col min="4" max="4" width="13.5546875" customWidth="1"/>
    <col min="5" max="5" width="11.33203125" customWidth="1"/>
    <col min="6" max="6" width="16.6640625" customWidth="1"/>
    <col min="7" max="7" width="13.88671875" customWidth="1"/>
    <col min="8" max="8" width="1.33203125" customWidth="1"/>
    <col min="9" max="9" width="14.109375" customWidth="1"/>
    <col min="10" max="10" width="1.5546875" customWidth="1"/>
    <col min="11" max="11" width="13.6640625" customWidth="1"/>
    <col min="12" max="12" width="1.33203125" customWidth="1"/>
    <col min="13" max="13" width="12.33203125" customWidth="1"/>
  </cols>
  <sheetData>
    <row r="6" spans="1:15" ht="18" customHeight="1" x14ac:dyDescent="0.3">
      <c r="A6" s="310" t="s">
        <v>280</v>
      </c>
      <c r="B6" s="310"/>
      <c r="C6" s="310"/>
      <c r="D6" s="310"/>
      <c r="E6" s="310"/>
      <c r="F6" s="310"/>
      <c r="G6" s="310"/>
      <c r="H6" s="310"/>
      <c r="I6" s="310"/>
      <c r="J6" s="310"/>
      <c r="K6" s="310"/>
      <c r="L6" s="310"/>
      <c r="M6" s="310"/>
    </row>
    <row r="7" spans="1:15" ht="20.399999999999999" customHeight="1" x14ac:dyDescent="0.35">
      <c r="A7" s="310" t="s">
        <v>166</v>
      </c>
      <c r="B7" s="310"/>
      <c r="C7" s="310"/>
      <c r="D7" s="310"/>
      <c r="E7" s="310"/>
      <c r="F7" s="310"/>
      <c r="G7" s="310"/>
      <c r="H7" s="310"/>
      <c r="I7" s="310"/>
      <c r="J7" s="310"/>
      <c r="K7" s="310"/>
      <c r="L7" s="310"/>
      <c r="M7" s="310"/>
      <c r="N7" s="15"/>
      <c r="O7" s="15"/>
    </row>
    <row r="8" spans="1:15" ht="9.6" customHeight="1" x14ac:dyDescent="0.3"/>
    <row r="9" spans="1:15" ht="7.2" customHeight="1" x14ac:dyDescent="0.3"/>
    <row r="10" spans="1:15" s="11" customFormat="1" ht="15.6" x14ac:dyDescent="0.3">
      <c r="A10" s="64">
        <v>11.1</v>
      </c>
      <c r="B10" s="12" t="s">
        <v>89</v>
      </c>
      <c r="C10" s="13"/>
      <c r="D10" s="13"/>
    </row>
    <row r="11" spans="1:15" ht="6" customHeight="1" x14ac:dyDescent="0.3">
      <c r="A11" s="4"/>
      <c r="B11" s="12"/>
      <c r="C11" s="13"/>
      <c r="D11" s="13"/>
    </row>
    <row r="12" spans="1:15" ht="59.4" customHeight="1" x14ac:dyDescent="0.3">
      <c r="B12" s="57" t="s">
        <v>76</v>
      </c>
      <c r="C12" s="52" t="s">
        <v>85</v>
      </c>
      <c r="D12" s="52" t="s">
        <v>87</v>
      </c>
      <c r="E12" s="52" t="s">
        <v>77</v>
      </c>
      <c r="F12" s="52" t="s">
        <v>176</v>
      </c>
      <c r="G12" s="52" t="s">
        <v>69</v>
      </c>
      <c r="H12" s="2"/>
      <c r="I12" s="52" t="s">
        <v>79</v>
      </c>
      <c r="J12" s="2"/>
      <c r="K12" s="52" t="s">
        <v>80</v>
      </c>
      <c r="L12" s="2"/>
      <c r="M12" s="52" t="s">
        <v>81</v>
      </c>
    </row>
    <row r="13" spans="1:15" ht="17.399999999999999" customHeight="1" x14ac:dyDescent="0.3">
      <c r="C13" s="58">
        <v>44927</v>
      </c>
      <c r="I13" s="59">
        <v>45107</v>
      </c>
    </row>
    <row r="14" spans="1:15" x14ac:dyDescent="0.3">
      <c r="B14" s="62"/>
      <c r="C14" s="23"/>
      <c r="D14" s="23"/>
      <c r="E14" s="23"/>
      <c r="F14" s="23"/>
      <c r="G14" s="23"/>
      <c r="I14" s="23"/>
      <c r="K14" s="23"/>
      <c r="M14" s="23"/>
    </row>
    <row r="15" spans="1:15" x14ac:dyDescent="0.3">
      <c r="B15" s="62"/>
      <c r="C15" s="23"/>
      <c r="D15" s="23"/>
      <c r="E15" s="23"/>
      <c r="F15" s="23"/>
      <c r="G15" s="23"/>
      <c r="I15" s="23"/>
      <c r="K15" s="23"/>
      <c r="M15" s="23"/>
    </row>
    <row r="16" spans="1:15" x14ac:dyDescent="0.3">
      <c r="B16" s="62"/>
      <c r="C16" s="23"/>
      <c r="D16" s="23"/>
      <c r="E16" s="23"/>
      <c r="F16" s="23"/>
      <c r="G16" s="23"/>
      <c r="I16" s="23"/>
      <c r="K16" s="23"/>
      <c r="M16" s="23"/>
    </row>
    <row r="17" spans="2:13" x14ac:dyDescent="0.3">
      <c r="B17" s="62"/>
      <c r="C17" s="23"/>
      <c r="D17" s="23"/>
      <c r="E17" s="23"/>
      <c r="F17" s="23"/>
      <c r="G17" s="48"/>
      <c r="H17" s="2"/>
      <c r="I17" s="48"/>
      <c r="J17" s="2"/>
      <c r="K17" s="48"/>
      <c r="L17" s="2"/>
      <c r="M17" s="48"/>
    </row>
    <row r="18" spans="2:13" x14ac:dyDescent="0.3">
      <c r="B18" s="62"/>
      <c r="C18" s="23"/>
      <c r="D18" s="23"/>
      <c r="E18" s="23"/>
      <c r="F18" s="23"/>
      <c r="G18" s="23"/>
      <c r="I18" s="23"/>
      <c r="K18" s="23"/>
      <c r="M18" s="23"/>
    </row>
    <row r="19" spans="2:13" x14ac:dyDescent="0.3">
      <c r="B19" s="62"/>
      <c r="C19" s="23"/>
      <c r="D19" s="23"/>
      <c r="E19" s="23"/>
      <c r="F19" s="23"/>
      <c r="G19" s="23"/>
      <c r="I19" s="23"/>
      <c r="K19" s="23"/>
      <c r="M19" s="23"/>
    </row>
    <row r="20" spans="2:13" ht="12.6" customHeight="1" x14ac:dyDescent="0.3">
      <c r="B20" s="23"/>
      <c r="C20" s="23"/>
      <c r="D20" s="23"/>
      <c r="E20" s="23"/>
      <c r="F20" s="23"/>
      <c r="G20" s="23"/>
      <c r="I20" s="23"/>
      <c r="K20" s="23"/>
      <c r="M20" s="23"/>
    </row>
    <row r="21" spans="2:13" x14ac:dyDescent="0.3">
      <c r="B21" s="23"/>
      <c r="C21" s="23"/>
      <c r="D21" s="23"/>
      <c r="E21" s="23"/>
      <c r="F21" s="23"/>
      <c r="G21" s="48"/>
      <c r="H21" s="2"/>
      <c r="I21" s="48"/>
      <c r="J21" s="2"/>
      <c r="K21" s="48"/>
      <c r="L21" s="2"/>
      <c r="M21" s="48"/>
    </row>
    <row r="22" spans="2:13" ht="16.2" customHeight="1" x14ac:dyDescent="0.3">
      <c r="B22" s="23"/>
      <c r="C22" s="23"/>
      <c r="D22" s="23"/>
      <c r="E22" s="23"/>
      <c r="F22" s="23"/>
      <c r="G22" s="23"/>
      <c r="I22" s="23"/>
      <c r="K22" s="23"/>
      <c r="M22" s="23"/>
    </row>
    <row r="23" spans="2:13" ht="16.2" customHeight="1" x14ac:dyDescent="0.3">
      <c r="B23" s="23"/>
      <c r="C23" s="23"/>
      <c r="D23" s="23"/>
      <c r="E23" s="23"/>
      <c r="F23" s="23"/>
      <c r="G23" s="23"/>
      <c r="I23" s="23"/>
      <c r="K23" s="23"/>
      <c r="M23" s="23"/>
    </row>
    <row r="24" spans="2:13" ht="16.2" customHeight="1" x14ac:dyDescent="0.3">
      <c r="B24" s="23"/>
      <c r="C24" s="23"/>
      <c r="D24" s="23"/>
      <c r="E24" s="23"/>
      <c r="F24" s="23"/>
      <c r="G24" s="23"/>
      <c r="I24" s="23"/>
      <c r="K24" s="23"/>
      <c r="M24" s="23"/>
    </row>
    <row r="25" spans="2:13" s="8" customFormat="1" ht="19.2" customHeight="1" x14ac:dyDescent="0.3">
      <c r="B25" s="23"/>
      <c r="C25" s="23"/>
      <c r="D25" s="23"/>
      <c r="E25" s="23"/>
      <c r="F25" s="23"/>
      <c r="G25" s="23"/>
      <c r="H25"/>
      <c r="I25" s="23"/>
      <c r="J25"/>
      <c r="K25" s="23"/>
      <c r="L25"/>
      <c r="M25" s="23"/>
    </row>
    <row r="26" spans="2:13" s="8" customFormat="1" ht="19.2" customHeight="1" x14ac:dyDescent="0.3">
      <c r="B26" s="23"/>
      <c r="C26" s="23"/>
      <c r="D26" s="23"/>
      <c r="E26" s="23"/>
      <c r="F26" s="23"/>
      <c r="G26" s="23"/>
      <c r="H26"/>
      <c r="I26" s="23"/>
      <c r="J26"/>
      <c r="K26" s="23"/>
      <c r="L26"/>
      <c r="M26" s="23"/>
    </row>
    <row r="27" spans="2:13" s="8" customFormat="1" ht="19.2" customHeight="1" x14ac:dyDescent="0.3">
      <c r="B27" s="23"/>
      <c r="C27" s="23"/>
      <c r="D27" s="23"/>
      <c r="E27" s="23"/>
      <c r="F27" s="23"/>
      <c r="G27" s="23"/>
      <c r="H27"/>
      <c r="I27" s="23"/>
      <c r="J27"/>
      <c r="K27" s="23"/>
      <c r="L27"/>
      <c r="M27" s="23"/>
    </row>
    <row r="28" spans="2:13" s="8" customFormat="1" ht="16.2" customHeight="1" x14ac:dyDescent="0.3">
      <c r="B28" s="23"/>
      <c r="C28" s="23"/>
      <c r="D28" s="23"/>
      <c r="E28" s="23"/>
      <c r="F28" s="23"/>
      <c r="G28" s="23"/>
      <c r="H28"/>
      <c r="I28" s="23"/>
      <c r="J28"/>
      <c r="K28" s="23"/>
      <c r="L28"/>
      <c r="M28" s="23"/>
    </row>
    <row r="29" spans="2:13" s="8" customFormat="1" ht="15" customHeight="1" x14ac:dyDescent="0.3">
      <c r="B29" s="23"/>
      <c r="C29" s="23"/>
      <c r="D29" s="23"/>
      <c r="E29" s="23"/>
      <c r="F29" s="23"/>
      <c r="G29" s="23"/>
      <c r="H29"/>
      <c r="I29" s="23"/>
      <c r="J29"/>
      <c r="K29" s="23"/>
      <c r="L29"/>
      <c r="M29" s="23"/>
    </row>
    <row r="30" spans="2:13" ht="18.600000000000001" customHeight="1" x14ac:dyDescent="0.3">
      <c r="B30" s="23"/>
      <c r="C30" s="23"/>
      <c r="D30" s="23"/>
      <c r="E30" s="23"/>
      <c r="F30" s="23"/>
      <c r="G30" s="23"/>
      <c r="I30" s="23"/>
      <c r="K30" s="23"/>
      <c r="M30" s="23"/>
    </row>
    <row r="31" spans="2:13" ht="16.95" customHeight="1" x14ac:dyDescent="0.3">
      <c r="B31" s="23"/>
      <c r="C31" s="23"/>
      <c r="D31" s="23"/>
      <c r="E31" s="23"/>
      <c r="F31" s="23"/>
      <c r="G31" s="23"/>
      <c r="I31" s="23"/>
      <c r="K31" s="23"/>
      <c r="M31" s="23"/>
    </row>
    <row r="32" spans="2:13" ht="17.399999999999999" customHeight="1" x14ac:dyDescent="0.3">
      <c r="B32" s="23"/>
      <c r="C32" s="23"/>
      <c r="D32" s="23"/>
      <c r="E32" s="23"/>
      <c r="F32" s="23"/>
      <c r="G32" s="23"/>
      <c r="I32" s="23"/>
      <c r="K32" s="23"/>
      <c r="M32" s="23"/>
    </row>
    <row r="33" spans="1:13" ht="11.4" customHeight="1" x14ac:dyDescent="0.3"/>
    <row r="34" spans="1:13" ht="11.4" customHeight="1" x14ac:dyDescent="0.3"/>
    <row r="35" spans="1:13" ht="20.399999999999999" customHeight="1" x14ac:dyDescent="0.3">
      <c r="A35" s="4">
        <v>11.2</v>
      </c>
      <c r="B35" s="12" t="s">
        <v>90</v>
      </c>
      <c r="C35" s="13"/>
      <c r="D35" s="13"/>
    </row>
    <row r="36" spans="1:13" ht="14.4" customHeight="1" x14ac:dyDescent="0.3"/>
    <row r="37" spans="1:13" ht="52.2" customHeight="1" x14ac:dyDescent="0.3">
      <c r="B37" s="57" t="s">
        <v>76</v>
      </c>
      <c r="C37" s="52" t="s">
        <v>85</v>
      </c>
      <c r="D37" s="52" t="s">
        <v>82</v>
      </c>
      <c r="E37" s="52" t="s">
        <v>118</v>
      </c>
      <c r="F37" s="52" t="s">
        <v>86</v>
      </c>
      <c r="G37" s="52" t="s">
        <v>84</v>
      </c>
      <c r="H37" s="2"/>
      <c r="I37" s="52" t="s">
        <v>83</v>
      </c>
      <c r="J37" s="2"/>
      <c r="K37" s="52" t="s">
        <v>69</v>
      </c>
      <c r="L37" s="2"/>
      <c r="M37" s="52" t="s">
        <v>78</v>
      </c>
    </row>
    <row r="38" spans="1:13" ht="19.2" customHeight="1" x14ac:dyDescent="0.3">
      <c r="C38" s="58">
        <v>44927</v>
      </c>
      <c r="M38" s="59">
        <v>45107</v>
      </c>
    </row>
    <row r="39" spans="1:13" ht="15" customHeight="1" x14ac:dyDescent="0.3">
      <c r="B39" s="62"/>
      <c r="C39" s="23"/>
      <c r="D39" s="23"/>
      <c r="E39" s="23"/>
      <c r="F39" s="23"/>
      <c r="G39" s="23"/>
      <c r="I39" s="23"/>
      <c r="K39" s="23"/>
      <c r="M39" s="23"/>
    </row>
    <row r="40" spans="1:13" ht="15" customHeight="1" x14ac:dyDescent="0.3">
      <c r="B40" s="62"/>
      <c r="C40" s="23"/>
      <c r="D40" s="23"/>
      <c r="E40" s="23"/>
      <c r="F40" s="23"/>
      <c r="G40" s="23"/>
      <c r="I40" s="23"/>
      <c r="K40" s="23"/>
      <c r="M40" s="23"/>
    </row>
    <row r="41" spans="1:13" ht="15" customHeight="1" x14ac:dyDescent="0.3">
      <c r="B41" s="62"/>
      <c r="C41" s="23"/>
      <c r="D41" s="23"/>
      <c r="E41" s="23"/>
      <c r="F41" s="23"/>
      <c r="G41" s="23"/>
      <c r="I41" s="23"/>
      <c r="K41" s="23"/>
      <c r="M41" s="23"/>
    </row>
    <row r="42" spans="1:13" ht="15" customHeight="1" x14ac:dyDescent="0.3">
      <c r="B42" s="62"/>
      <c r="C42" s="23"/>
      <c r="D42" s="23"/>
      <c r="E42" s="23"/>
      <c r="F42" s="23"/>
      <c r="G42" s="48"/>
      <c r="H42" s="2"/>
      <c r="I42" s="48"/>
      <c r="J42" s="2"/>
      <c r="K42" s="48"/>
      <c r="L42" s="2"/>
      <c r="M42" s="48"/>
    </row>
    <row r="43" spans="1:13" ht="15" customHeight="1" x14ac:dyDescent="0.3">
      <c r="B43" s="62"/>
      <c r="C43" s="23"/>
      <c r="D43" s="23"/>
      <c r="E43" s="23"/>
      <c r="F43" s="23"/>
      <c r="G43" s="23"/>
      <c r="I43" s="23"/>
      <c r="K43" s="23"/>
      <c r="M43" s="23"/>
    </row>
    <row r="44" spans="1:13" ht="15" customHeight="1" x14ac:dyDescent="0.3">
      <c r="B44" s="62"/>
      <c r="C44" s="23"/>
      <c r="D44" s="23"/>
      <c r="E44" s="23"/>
      <c r="F44" s="23"/>
      <c r="G44" s="23"/>
      <c r="I44" s="23"/>
      <c r="K44" s="23"/>
      <c r="M44" s="23"/>
    </row>
    <row r="45" spans="1:13" ht="15" customHeight="1" x14ac:dyDescent="0.3">
      <c r="B45" s="23"/>
      <c r="C45" s="23"/>
      <c r="D45" s="23"/>
      <c r="E45" s="23"/>
      <c r="F45" s="23"/>
      <c r="G45" s="23"/>
      <c r="I45" s="23"/>
      <c r="K45" s="23"/>
      <c r="M45" s="23"/>
    </row>
    <row r="46" spans="1:13" ht="15" customHeight="1" x14ac:dyDescent="0.3">
      <c r="B46" s="23"/>
      <c r="C46" s="23"/>
      <c r="D46" s="23"/>
      <c r="E46" s="23"/>
      <c r="F46" s="23"/>
      <c r="G46" s="48"/>
      <c r="H46" s="2"/>
      <c r="I46" s="48"/>
      <c r="J46" s="2"/>
      <c r="K46" s="48"/>
      <c r="L46" s="2"/>
      <c r="M46" s="48"/>
    </row>
    <row r="47" spans="1:13" ht="15" customHeight="1" x14ac:dyDescent="0.3">
      <c r="B47" s="23"/>
      <c r="C47" s="23"/>
      <c r="D47" s="23"/>
      <c r="E47" s="23"/>
      <c r="F47" s="23"/>
      <c r="G47" s="23"/>
      <c r="I47" s="23"/>
      <c r="K47" s="23"/>
      <c r="M47" s="23"/>
    </row>
    <row r="48" spans="1:13" ht="15" customHeight="1" x14ac:dyDescent="0.3">
      <c r="B48" s="23"/>
      <c r="C48" s="23"/>
      <c r="D48" s="23"/>
      <c r="E48" s="23"/>
      <c r="F48" s="23"/>
      <c r="G48" s="23"/>
      <c r="I48" s="23"/>
      <c r="K48" s="23"/>
      <c r="M48" s="23"/>
    </row>
    <row r="49" spans="1:13" ht="15" customHeight="1" x14ac:dyDescent="0.3">
      <c r="B49" s="23"/>
      <c r="C49" s="23"/>
      <c r="D49" s="23"/>
      <c r="E49" s="23"/>
      <c r="F49" s="23"/>
      <c r="G49" s="23"/>
      <c r="I49" s="23"/>
      <c r="K49" s="23"/>
      <c r="M49" s="23"/>
    </row>
    <row r="50" spans="1:13" ht="15" customHeight="1" x14ac:dyDescent="0.3">
      <c r="B50" s="23"/>
      <c r="C50" s="23"/>
      <c r="D50" s="23"/>
      <c r="E50" s="23"/>
      <c r="F50" s="23"/>
      <c r="G50" s="23"/>
      <c r="I50" s="23"/>
      <c r="K50" s="23"/>
      <c r="M50" s="23"/>
    </row>
    <row r="51" spans="1:13" ht="15" customHeight="1" x14ac:dyDescent="0.3">
      <c r="B51" s="23"/>
      <c r="C51" s="23"/>
      <c r="D51" s="23"/>
      <c r="E51" s="23"/>
      <c r="F51" s="23"/>
      <c r="G51" s="23"/>
      <c r="I51" s="23"/>
      <c r="K51" s="23"/>
      <c r="M51" s="23"/>
    </row>
    <row r="52" spans="1:13" ht="15" customHeight="1" x14ac:dyDescent="0.3">
      <c r="B52" s="23"/>
      <c r="C52" s="23"/>
      <c r="D52" s="23"/>
      <c r="E52" s="23"/>
      <c r="F52" s="23"/>
      <c r="G52" s="23"/>
      <c r="I52" s="23"/>
      <c r="K52" s="23"/>
      <c r="M52" s="23"/>
    </row>
    <row r="53" spans="1:13" ht="15" customHeight="1" x14ac:dyDescent="0.3">
      <c r="B53" s="23"/>
      <c r="C53" s="23"/>
      <c r="D53" s="23"/>
      <c r="E53" s="23"/>
      <c r="F53" s="23"/>
      <c r="G53" s="23"/>
      <c r="I53" s="23"/>
      <c r="K53" s="23"/>
      <c r="M53" s="23"/>
    </row>
    <row r="54" spans="1:13" ht="15" customHeight="1" x14ac:dyDescent="0.3">
      <c r="B54" s="23"/>
      <c r="C54" s="23"/>
      <c r="D54" s="23"/>
      <c r="E54" s="23"/>
      <c r="F54" s="23"/>
      <c r="G54" s="23"/>
      <c r="I54" s="23"/>
      <c r="K54" s="23"/>
      <c r="M54" s="23"/>
    </row>
    <row r="55" spans="1:13" ht="15" customHeight="1" x14ac:dyDescent="0.3">
      <c r="B55" s="23"/>
      <c r="C55" s="23"/>
      <c r="D55" s="23"/>
      <c r="E55" s="23"/>
      <c r="F55" s="23"/>
      <c r="G55" s="23"/>
      <c r="I55" s="23"/>
      <c r="K55" s="23"/>
      <c r="M55" s="23"/>
    </row>
    <row r="56" spans="1:13" ht="15" customHeight="1" x14ac:dyDescent="0.3">
      <c r="B56" s="23"/>
      <c r="C56" s="23"/>
      <c r="D56" s="23"/>
      <c r="E56" s="23"/>
      <c r="F56" s="23"/>
      <c r="G56" s="23"/>
      <c r="I56" s="23"/>
      <c r="K56" s="23"/>
      <c r="M56" s="23"/>
    </row>
    <row r="57" spans="1:13" ht="11.4" customHeight="1" x14ac:dyDescent="0.3"/>
    <row r="58" spans="1:13" ht="11.4" customHeight="1" x14ac:dyDescent="0.3"/>
    <row r="59" spans="1:13" ht="11.4" customHeight="1" x14ac:dyDescent="0.3"/>
    <row r="60" spans="1:13" s="11" customFormat="1" ht="15.6" x14ac:dyDescent="0.3">
      <c r="A60" s="64">
        <v>11.3</v>
      </c>
      <c r="B60" s="12" t="s">
        <v>91</v>
      </c>
      <c r="C60" s="13"/>
      <c r="D60" s="13"/>
    </row>
    <row r="61" spans="1:13" ht="9" customHeight="1" x14ac:dyDescent="0.3">
      <c r="A61" s="4"/>
      <c r="B61" s="12"/>
      <c r="C61" s="13"/>
      <c r="D61" s="13"/>
    </row>
    <row r="62" spans="1:13" ht="43.2" x14ac:dyDescent="0.3">
      <c r="B62" s="323" t="s">
        <v>92</v>
      </c>
      <c r="C62" s="324"/>
      <c r="D62" s="324"/>
      <c r="E62" s="325"/>
      <c r="G62" s="52" t="s">
        <v>70</v>
      </c>
      <c r="H62" s="2"/>
      <c r="I62" s="52" t="s">
        <v>99</v>
      </c>
      <c r="J62" s="2"/>
      <c r="K62" s="314" t="s">
        <v>98</v>
      </c>
      <c r="L62" s="315"/>
      <c r="M62" s="253"/>
    </row>
    <row r="64" spans="1:13" x14ac:dyDescent="0.3">
      <c r="B64" s="320" t="s">
        <v>94</v>
      </c>
      <c r="C64" s="321"/>
      <c r="D64" s="321"/>
      <c r="E64" s="322"/>
      <c r="G64" s="23"/>
      <c r="I64" s="23"/>
      <c r="K64" s="316"/>
      <c r="L64" s="308"/>
      <c r="M64" s="309"/>
    </row>
    <row r="65" spans="1:13" x14ac:dyDescent="0.3">
      <c r="B65" s="320" t="s">
        <v>95</v>
      </c>
      <c r="C65" s="321"/>
      <c r="D65" s="321"/>
      <c r="E65" s="322"/>
      <c r="G65" s="23"/>
      <c r="I65" s="23"/>
      <c r="K65" s="316"/>
      <c r="L65" s="308"/>
      <c r="M65" s="309"/>
    </row>
    <row r="66" spans="1:13" x14ac:dyDescent="0.3">
      <c r="B66" s="320" t="s">
        <v>96</v>
      </c>
      <c r="C66" s="321"/>
      <c r="D66" s="321"/>
      <c r="E66" s="322"/>
      <c r="G66" s="23"/>
      <c r="I66" s="23"/>
      <c r="K66" s="316"/>
      <c r="L66" s="308"/>
      <c r="M66" s="309"/>
    </row>
    <row r="67" spans="1:13" x14ac:dyDescent="0.3">
      <c r="B67" s="320" t="s">
        <v>97</v>
      </c>
      <c r="C67" s="321"/>
      <c r="D67" s="321"/>
      <c r="E67" s="322"/>
      <c r="G67" s="23"/>
      <c r="I67" s="23"/>
      <c r="K67" s="316"/>
      <c r="L67" s="308"/>
      <c r="M67" s="309"/>
    </row>
    <row r="70" spans="1:13" s="11" customFormat="1" ht="15.6" x14ac:dyDescent="0.3">
      <c r="A70" s="81">
        <v>11.4</v>
      </c>
      <c r="B70" s="12" t="s">
        <v>181</v>
      </c>
    </row>
    <row r="72" spans="1:13" x14ac:dyDescent="0.3">
      <c r="B72" s="63" t="s">
        <v>76</v>
      </c>
      <c r="C72" s="63" t="s">
        <v>93</v>
      </c>
      <c r="D72" s="317" t="s">
        <v>100</v>
      </c>
      <c r="E72" s="318"/>
      <c r="F72" s="318"/>
      <c r="G72" s="318"/>
      <c r="H72" s="318"/>
      <c r="I72" s="319"/>
    </row>
    <row r="74" spans="1:13" x14ac:dyDescent="0.3">
      <c r="B74" s="23"/>
      <c r="C74" s="23"/>
      <c r="D74" s="266"/>
      <c r="E74" s="266"/>
      <c r="F74" s="266"/>
      <c r="G74" s="266"/>
      <c r="H74" s="266"/>
      <c r="I74" s="266"/>
    </row>
    <row r="75" spans="1:13" x14ac:dyDescent="0.3">
      <c r="B75" s="23"/>
      <c r="C75" s="23"/>
      <c r="D75" s="266"/>
      <c r="E75" s="266"/>
      <c r="F75" s="266"/>
      <c r="G75" s="266"/>
      <c r="H75" s="266"/>
      <c r="I75" s="266"/>
    </row>
    <row r="76" spans="1:13" x14ac:dyDescent="0.3">
      <c r="B76" s="23"/>
      <c r="C76" s="23"/>
      <c r="D76" s="266"/>
      <c r="E76" s="266"/>
      <c r="F76" s="266"/>
      <c r="G76" s="266"/>
      <c r="H76" s="266"/>
      <c r="I76" s="266"/>
    </row>
    <row r="77" spans="1:13" x14ac:dyDescent="0.3">
      <c r="B77" s="23"/>
      <c r="C77" s="23"/>
      <c r="D77" s="266"/>
      <c r="E77" s="266"/>
      <c r="F77" s="266"/>
      <c r="G77" s="266"/>
      <c r="H77" s="266"/>
      <c r="I77" s="266"/>
    </row>
    <row r="81" spans="2:3" x14ac:dyDescent="0.3">
      <c r="B81" s="10"/>
      <c r="C81" s="10"/>
    </row>
    <row r="82" spans="2:3" x14ac:dyDescent="0.3">
      <c r="B82" s="2" t="s">
        <v>1</v>
      </c>
    </row>
    <row r="83" spans="2:3" x14ac:dyDescent="0.3">
      <c r="B83" s="2" t="s">
        <v>2</v>
      </c>
    </row>
    <row r="84" spans="2:3" x14ac:dyDescent="0.3">
      <c r="B84" s="2" t="s">
        <v>3</v>
      </c>
    </row>
  </sheetData>
  <mergeCells count="17">
    <mergeCell ref="D77:I77"/>
    <mergeCell ref="K62:M62"/>
    <mergeCell ref="K64:M64"/>
    <mergeCell ref="K65:M65"/>
    <mergeCell ref="K66:M66"/>
    <mergeCell ref="K67:M67"/>
    <mergeCell ref="D72:I72"/>
    <mergeCell ref="B64:E64"/>
    <mergeCell ref="B65:E65"/>
    <mergeCell ref="B66:E66"/>
    <mergeCell ref="B67:E67"/>
    <mergeCell ref="B62:E62"/>
    <mergeCell ref="A6:M6"/>
    <mergeCell ref="A7:M7"/>
    <mergeCell ref="D74:I74"/>
    <mergeCell ref="D75:I75"/>
    <mergeCell ref="D76:I76"/>
  </mergeCells>
  <pageMargins left="0.59055118110236204" right="0.196850393700787" top="0.39370078740157499" bottom="0.196850393700787" header="0.196850393700787" footer="0.196850393700787"/>
  <pageSetup paperSize="9" firstPageNumber="17" orientation="landscape" useFirstPageNumber="1" r:id="rId1"/>
  <headerFooter>
    <oddFooter>&amp;C&amp;"-,Bold"&amp;10&amp;P&amp;R&amp;9&amp;K09-022Financial audit - interim review 2023</oddFooter>
  </headerFooter>
  <rowBreaks count="2" manualBreakCount="2">
    <brk id="33" max="12" man="1"/>
    <brk id="58" max="12"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89188-5489-4E2E-8579-307D8019575F}">
  <dimension ref="A6:R43"/>
  <sheetViews>
    <sheetView showGridLines="0" view="pageBreakPreview" zoomScaleNormal="100" zoomScaleSheetLayoutView="100" workbookViewId="0">
      <pane ySplit="9" topLeftCell="A31" activePane="bottomLeft" state="frozen"/>
      <selection activeCell="K23" sqref="K23"/>
      <selection pane="bottomLeft" activeCell="G32" sqref="G32:K35"/>
    </sheetView>
  </sheetViews>
  <sheetFormatPr defaultRowHeight="14.4" x14ac:dyDescent="0.3"/>
  <cols>
    <col min="1" max="1" width="6.33203125" customWidth="1"/>
    <col min="2" max="3" width="16.44140625" customWidth="1"/>
    <col min="4" max="4" width="38.6640625" customWidth="1"/>
    <col min="5" max="5" width="14.6640625" customWidth="1"/>
    <col min="6" max="6" width="1.33203125" customWidth="1"/>
    <col min="7" max="7" width="12.5546875" customWidth="1"/>
    <col min="8" max="8" width="2.44140625" customWidth="1"/>
    <col min="9" max="9" width="13.6640625" customWidth="1"/>
    <col min="10" max="10" width="2.5546875" customWidth="1"/>
    <col min="11" max="11" width="12.33203125" customWidth="1"/>
    <col min="12" max="12" width="11.5546875" bestFit="1" customWidth="1"/>
    <col min="13" max="13" width="10.33203125" bestFit="1" customWidth="1"/>
  </cols>
  <sheetData>
    <row r="6" spans="1:13" ht="7.2" customHeight="1" x14ac:dyDescent="0.3"/>
    <row r="7" spans="1:13" ht="18" customHeight="1" x14ac:dyDescent="0.3">
      <c r="A7" s="310" t="s">
        <v>280</v>
      </c>
      <c r="B7" s="310"/>
      <c r="C7" s="310"/>
      <c r="D7" s="310"/>
      <c r="E7" s="310"/>
      <c r="F7" s="310"/>
      <c r="G7" s="310"/>
      <c r="H7" s="310"/>
      <c r="I7" s="310"/>
      <c r="J7" s="310"/>
      <c r="K7" s="310"/>
    </row>
    <row r="8" spans="1:13" ht="23.4" customHeight="1" x14ac:dyDescent="0.35">
      <c r="A8" s="310" t="s">
        <v>206</v>
      </c>
      <c r="B8" s="310"/>
      <c r="C8" s="310"/>
      <c r="D8" s="310"/>
      <c r="E8" s="310"/>
      <c r="F8" s="310"/>
      <c r="G8" s="310"/>
      <c r="H8" s="310"/>
      <c r="I8" s="310"/>
      <c r="J8" s="310"/>
      <c r="K8" s="310"/>
      <c r="L8" s="15"/>
      <c r="M8" s="15"/>
    </row>
    <row r="9" spans="1:13" ht="9.6" customHeight="1" x14ac:dyDescent="0.3"/>
    <row r="10" spans="1:13" ht="7.2" customHeight="1" x14ac:dyDescent="0.3"/>
    <row r="11" spans="1:13" s="11" customFormat="1" ht="15.6" x14ac:dyDescent="0.3">
      <c r="A11" s="64">
        <v>12.1</v>
      </c>
      <c r="B11" s="12" t="s">
        <v>101</v>
      </c>
      <c r="C11" s="13"/>
      <c r="D11" s="13"/>
    </row>
    <row r="12" spans="1:13" ht="6" customHeight="1" x14ac:dyDescent="0.3">
      <c r="A12" s="4"/>
      <c r="B12" s="12"/>
      <c r="C12" s="13"/>
      <c r="D12" s="13"/>
    </row>
    <row r="13" spans="1:13" ht="46.2" customHeight="1" x14ac:dyDescent="0.3">
      <c r="B13" s="323" t="s">
        <v>59</v>
      </c>
      <c r="C13" s="324"/>
      <c r="D13" s="325"/>
      <c r="E13" s="52" t="s">
        <v>179</v>
      </c>
      <c r="F13" s="2"/>
      <c r="G13" s="52" t="s">
        <v>180</v>
      </c>
      <c r="H13" s="2"/>
      <c r="I13" s="52" t="s">
        <v>102</v>
      </c>
      <c r="J13" s="2"/>
      <c r="K13" s="52" t="s">
        <v>81</v>
      </c>
    </row>
    <row r="14" spans="1:13" ht="17.399999999999999" customHeight="1" x14ac:dyDescent="0.3">
      <c r="C14" s="58"/>
      <c r="E14" s="58"/>
      <c r="G14" s="59">
        <v>45107</v>
      </c>
    </row>
    <row r="15" spans="1:13" x14ac:dyDescent="0.3">
      <c r="B15" s="326" t="s">
        <v>290</v>
      </c>
      <c r="C15" s="292"/>
      <c r="D15" s="292"/>
      <c r="E15" s="23"/>
      <c r="G15" s="134"/>
      <c r="H15" s="140"/>
      <c r="I15" s="135"/>
      <c r="K15" s="23"/>
      <c r="L15" s="115"/>
    </row>
    <row r="16" spans="1:13" x14ac:dyDescent="0.3">
      <c r="B16" s="326" t="s">
        <v>291</v>
      </c>
      <c r="C16" s="292"/>
      <c r="D16" s="292"/>
      <c r="E16" s="23"/>
      <c r="G16" s="134"/>
      <c r="H16" s="140"/>
      <c r="I16" s="135"/>
      <c r="K16" s="23"/>
      <c r="L16" s="116"/>
    </row>
    <row r="17" spans="1:18" x14ac:dyDescent="0.3">
      <c r="B17" s="326" t="s">
        <v>292</v>
      </c>
      <c r="C17" s="292"/>
      <c r="D17" s="292"/>
      <c r="E17" s="23"/>
      <c r="G17" s="134"/>
      <c r="H17" s="140"/>
      <c r="I17" s="135"/>
      <c r="K17" s="23"/>
      <c r="L17" s="116"/>
    </row>
    <row r="18" spans="1:18" x14ac:dyDescent="0.3">
      <c r="B18" s="326" t="s">
        <v>293</v>
      </c>
      <c r="C18" s="292"/>
      <c r="D18" s="292"/>
      <c r="E18" s="23"/>
      <c r="F18" s="2"/>
      <c r="G18" s="134"/>
      <c r="H18" s="141"/>
      <c r="I18" s="135"/>
      <c r="J18" s="2"/>
      <c r="K18" s="48"/>
      <c r="L18" s="116"/>
    </row>
    <row r="19" spans="1:18" x14ac:dyDescent="0.3">
      <c r="B19" s="326" t="s">
        <v>275</v>
      </c>
      <c r="C19" s="292"/>
      <c r="D19" s="292"/>
      <c r="E19" s="23"/>
      <c r="G19" s="134"/>
      <c r="H19" s="140"/>
      <c r="I19" s="135"/>
      <c r="K19" s="23"/>
      <c r="L19" s="116"/>
    </row>
    <row r="20" spans="1:18" ht="12.6" customHeight="1" x14ac:dyDescent="0.3">
      <c r="B20" s="326" t="s">
        <v>294</v>
      </c>
      <c r="C20" s="292"/>
      <c r="D20" s="292"/>
      <c r="E20" s="23"/>
      <c r="G20" s="134"/>
      <c r="H20" s="140"/>
      <c r="I20" s="135"/>
      <c r="K20" s="23"/>
      <c r="L20" s="116"/>
    </row>
    <row r="21" spans="1:18" x14ac:dyDescent="0.3">
      <c r="B21" s="326" t="s">
        <v>295</v>
      </c>
      <c r="C21" s="292"/>
      <c r="D21" s="292"/>
      <c r="E21" s="23"/>
      <c r="F21" s="2"/>
      <c r="G21" s="134"/>
      <c r="H21" s="141"/>
      <c r="I21" s="135"/>
      <c r="J21" s="2"/>
      <c r="K21" s="48"/>
      <c r="L21" s="116"/>
    </row>
    <row r="22" spans="1:18" ht="16.2" customHeight="1" x14ac:dyDescent="0.3">
      <c r="B22" s="326" t="s">
        <v>296</v>
      </c>
      <c r="C22" s="292"/>
      <c r="D22" s="292"/>
      <c r="E22" s="23"/>
      <c r="G22" s="134"/>
      <c r="H22" s="140"/>
      <c r="I22" s="135"/>
      <c r="K22" s="23"/>
      <c r="L22" s="116"/>
    </row>
    <row r="23" spans="1:18" ht="16.2" customHeight="1" x14ac:dyDescent="0.3">
      <c r="B23" s="326" t="s">
        <v>297</v>
      </c>
      <c r="C23" s="292"/>
      <c r="D23" s="292"/>
      <c r="E23" s="23"/>
      <c r="G23" s="134"/>
      <c r="H23" s="140"/>
      <c r="I23" s="135"/>
      <c r="K23" s="23"/>
      <c r="L23" s="116"/>
    </row>
    <row r="24" spans="1:18" s="8" customFormat="1" ht="19.2" customHeight="1" x14ac:dyDescent="0.3">
      <c r="B24" s="326" t="s">
        <v>298</v>
      </c>
      <c r="C24" s="292"/>
      <c r="D24" s="292"/>
      <c r="E24" s="23"/>
      <c r="F24"/>
      <c r="G24" s="134"/>
      <c r="H24" s="140"/>
      <c r="I24" s="135"/>
      <c r="J24"/>
      <c r="K24" s="23"/>
      <c r="L24" s="116"/>
    </row>
    <row r="25" spans="1:18" s="8" customFormat="1" ht="19.2" customHeight="1" x14ac:dyDescent="0.3">
      <c r="B25" s="327"/>
      <c r="C25" s="327"/>
      <c r="D25" s="327"/>
      <c r="E25" s="23"/>
      <c r="F25"/>
      <c r="G25" s="23"/>
      <c r="H25"/>
      <c r="I25" s="23"/>
      <c r="J25"/>
      <c r="K25" s="23"/>
    </row>
    <row r="26" spans="1:18" ht="11.4" customHeight="1" x14ac:dyDescent="0.3"/>
    <row r="27" spans="1:18" ht="11.4" customHeight="1" x14ac:dyDescent="0.3"/>
    <row r="28" spans="1:18" ht="20.399999999999999" customHeight="1" x14ac:dyDescent="0.3">
      <c r="A28" s="4">
        <v>12.2</v>
      </c>
      <c r="B28" s="12" t="s">
        <v>103</v>
      </c>
      <c r="C28" s="13"/>
      <c r="D28" s="13"/>
      <c r="N28" s="316"/>
      <c r="O28" s="308"/>
      <c r="P28" s="308"/>
      <c r="Q28" s="308"/>
      <c r="R28" s="309"/>
    </row>
    <row r="29" spans="1:18" ht="9" customHeight="1" x14ac:dyDescent="0.3">
      <c r="A29" s="4"/>
      <c r="B29" s="12"/>
      <c r="C29" s="13"/>
      <c r="D29" s="13"/>
    </row>
    <row r="30" spans="1:18" ht="14.4" customHeight="1" x14ac:dyDescent="0.3">
      <c r="B30" s="323" t="s">
        <v>92</v>
      </c>
      <c r="C30" s="324"/>
      <c r="D30" s="324"/>
      <c r="E30" s="325"/>
      <c r="F30" s="2"/>
      <c r="G30" s="314" t="s">
        <v>93</v>
      </c>
      <c r="H30" s="315"/>
      <c r="I30" s="315"/>
      <c r="J30" s="315"/>
      <c r="K30" s="253"/>
    </row>
    <row r="32" spans="1:18" x14ac:dyDescent="0.3">
      <c r="B32" s="320" t="s">
        <v>94</v>
      </c>
      <c r="C32" s="321"/>
      <c r="D32" s="321"/>
      <c r="E32" s="322"/>
      <c r="G32" s="328"/>
      <c r="H32" s="328"/>
      <c r="I32" s="328"/>
      <c r="J32" s="328"/>
      <c r="K32" s="328"/>
    </row>
    <row r="33" spans="2:13" x14ac:dyDescent="0.3">
      <c r="B33" s="320" t="s">
        <v>95</v>
      </c>
      <c r="C33" s="321"/>
      <c r="D33" s="321"/>
      <c r="E33" s="322"/>
      <c r="G33" s="328"/>
      <c r="H33" s="328"/>
      <c r="I33" s="328"/>
      <c r="J33" s="328"/>
      <c r="K33" s="328"/>
    </row>
    <row r="34" spans="2:13" x14ac:dyDescent="0.3">
      <c r="B34" s="320" t="s">
        <v>96</v>
      </c>
      <c r="C34" s="321"/>
      <c r="D34" s="321"/>
      <c r="E34" s="322"/>
      <c r="G34" s="328"/>
      <c r="H34" s="328"/>
      <c r="I34" s="328"/>
      <c r="J34" s="328"/>
      <c r="K34" s="328"/>
    </row>
    <row r="35" spans="2:13" x14ac:dyDescent="0.3">
      <c r="B35" s="320" t="s">
        <v>97</v>
      </c>
      <c r="C35" s="321"/>
      <c r="D35" s="321"/>
      <c r="E35" s="322"/>
      <c r="G35" s="328"/>
      <c r="H35" s="328"/>
      <c r="I35" s="328"/>
      <c r="J35" s="328"/>
      <c r="K35" s="328"/>
      <c r="L35" s="143"/>
      <c r="M35" s="112"/>
    </row>
    <row r="40" spans="2:13" x14ac:dyDescent="0.3">
      <c r="B40" s="10"/>
      <c r="C40" s="10"/>
    </row>
    <row r="41" spans="2:13" x14ac:dyDescent="0.3">
      <c r="B41" s="2" t="s">
        <v>1</v>
      </c>
    </row>
    <row r="42" spans="2:13" x14ac:dyDescent="0.3">
      <c r="B42" s="2" t="s">
        <v>2</v>
      </c>
    </row>
    <row r="43" spans="2:13" x14ac:dyDescent="0.3">
      <c r="B43" s="2" t="s">
        <v>3</v>
      </c>
    </row>
  </sheetData>
  <mergeCells count="25">
    <mergeCell ref="B25:D25"/>
    <mergeCell ref="G33:K33"/>
    <mergeCell ref="G34:K34"/>
    <mergeCell ref="G35:K35"/>
    <mergeCell ref="N28:R28"/>
    <mergeCell ref="G30:K30"/>
    <mergeCell ref="G32:K32"/>
    <mergeCell ref="B34:E34"/>
    <mergeCell ref="B35:E35"/>
    <mergeCell ref="A7:K7"/>
    <mergeCell ref="A8:K8"/>
    <mergeCell ref="B30:E30"/>
    <mergeCell ref="B32:E32"/>
    <mergeCell ref="B33:E33"/>
    <mergeCell ref="B20:D20"/>
    <mergeCell ref="B21:D21"/>
    <mergeCell ref="B22:D22"/>
    <mergeCell ref="B13:D13"/>
    <mergeCell ref="B15:D15"/>
    <mergeCell ref="B16:D16"/>
    <mergeCell ref="B17:D17"/>
    <mergeCell ref="B18:D18"/>
    <mergeCell ref="B19:D19"/>
    <mergeCell ref="B23:D23"/>
    <mergeCell ref="B24:D24"/>
  </mergeCells>
  <pageMargins left="0.59055118110236204" right="0.196850393700787" top="0.39370078740157499" bottom="0.196850393700787" header="0.196850393700787" footer="0.196850393700787"/>
  <pageSetup paperSize="9" scale="75" firstPageNumber="20" orientation="landscape" useFirstPageNumber="1" r:id="rId1"/>
  <headerFooter>
    <oddFooter>&amp;C&amp;"-,Bold"&amp;10&amp;P&amp;R&amp;9&amp;K09-022Financial audit - interim review 2023</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E259E-7ADE-4A9F-A717-FD3A0F4C90C3}">
  <dimension ref="A6:Q46"/>
  <sheetViews>
    <sheetView showGridLines="0" view="pageBreakPreview" zoomScaleNormal="100" zoomScaleSheetLayoutView="100" workbookViewId="0">
      <pane ySplit="9" topLeftCell="A40" activePane="bottomLeft" state="frozen"/>
      <selection activeCell="K23" sqref="K23"/>
      <selection pane="bottomLeft" activeCell="K23" sqref="K23"/>
    </sheetView>
  </sheetViews>
  <sheetFormatPr defaultRowHeight="14.4" x14ac:dyDescent="0.3"/>
  <cols>
    <col min="1" max="1" width="5" customWidth="1"/>
    <col min="2" max="3" width="16.44140625" customWidth="1"/>
    <col min="4" max="4" width="2.109375" customWidth="1"/>
    <col min="5" max="5" width="35.5546875" customWidth="1"/>
    <col min="6" max="6" width="2" customWidth="1"/>
    <col min="7" max="7" width="14.109375" customWidth="1"/>
    <col min="8" max="8" width="1.33203125" customWidth="1"/>
    <col min="9" max="9" width="12.5546875" customWidth="1"/>
    <col min="10" max="10" width="2.33203125" customWidth="1"/>
    <col min="11" max="11" width="13.6640625" customWidth="1"/>
    <col min="12" max="12" width="2.5546875" customWidth="1"/>
    <col min="13" max="13" width="12.33203125" customWidth="1"/>
    <col min="14" max="14" width="1.88671875" customWidth="1"/>
    <col min="15" max="15" width="10.6640625" customWidth="1"/>
    <col min="16" max="16" width="1.33203125" customWidth="1"/>
    <col min="17" max="17" width="11.44140625" bestFit="1" customWidth="1"/>
  </cols>
  <sheetData>
    <row r="6" spans="1:17" s="152" customFormat="1" ht="20.100000000000001" customHeight="1" x14ac:dyDescent="0.3">
      <c r="A6" s="331" t="s">
        <v>282</v>
      </c>
      <c r="B6" s="332"/>
      <c r="C6" s="332"/>
      <c r="D6" s="332"/>
      <c r="E6" s="332"/>
      <c r="F6" s="332"/>
      <c r="G6" s="332"/>
      <c r="H6" s="332"/>
      <c r="I6" s="332"/>
      <c r="J6" s="332"/>
      <c r="K6" s="332"/>
      <c r="L6" s="332"/>
      <c r="M6" s="332"/>
      <c r="N6" s="332"/>
      <c r="O6" s="332"/>
      <c r="P6" s="332"/>
      <c r="Q6" s="333"/>
    </row>
    <row r="7" spans="1:17" s="152" customFormat="1" ht="20.100000000000001" customHeight="1" x14ac:dyDescent="0.3">
      <c r="A7" s="331" t="s">
        <v>154</v>
      </c>
      <c r="B7" s="332"/>
      <c r="C7" s="332"/>
      <c r="D7" s="332"/>
      <c r="E7" s="332"/>
      <c r="F7" s="332"/>
      <c r="G7" s="332"/>
      <c r="H7" s="332"/>
      <c r="I7" s="332"/>
      <c r="J7" s="332"/>
      <c r="K7" s="332"/>
      <c r="L7" s="332"/>
      <c r="M7" s="332"/>
      <c r="N7" s="332"/>
      <c r="O7" s="332"/>
      <c r="P7" s="332"/>
      <c r="Q7" s="333"/>
    </row>
    <row r="8" spans="1:17" s="152" customFormat="1" ht="20.100000000000001" customHeight="1" x14ac:dyDescent="0.3">
      <c r="A8" s="331" t="s">
        <v>167</v>
      </c>
      <c r="B8" s="332"/>
      <c r="C8" s="332"/>
      <c r="D8" s="332"/>
      <c r="E8" s="332"/>
      <c r="F8" s="332"/>
      <c r="G8" s="332"/>
      <c r="H8" s="332"/>
      <c r="I8" s="332"/>
      <c r="J8" s="332"/>
      <c r="K8" s="332"/>
      <c r="L8" s="332"/>
      <c r="M8" s="332"/>
      <c r="N8" s="332"/>
      <c r="O8" s="332"/>
      <c r="P8" s="332"/>
      <c r="Q8" s="333"/>
    </row>
    <row r="9" spans="1:17" ht="9.6" customHeight="1" x14ac:dyDescent="0.3"/>
    <row r="10" spans="1:17" ht="7.2" customHeight="1" x14ac:dyDescent="0.3"/>
    <row r="11" spans="1:17" ht="10.95" customHeight="1" x14ac:dyDescent="0.3">
      <c r="C11" s="58"/>
      <c r="D11" s="58"/>
      <c r="I11" s="59"/>
    </row>
    <row r="12" spans="1:17" x14ac:dyDescent="0.3">
      <c r="B12" s="291" t="s">
        <v>59</v>
      </c>
      <c r="C12" s="291"/>
      <c r="D12" s="65"/>
      <c r="E12" s="73" t="s">
        <v>138</v>
      </c>
      <c r="F12" s="32"/>
      <c r="G12" s="74" t="s">
        <v>150</v>
      </c>
      <c r="H12" s="2"/>
      <c r="I12" s="74" t="s">
        <v>150</v>
      </c>
      <c r="J12" s="2"/>
      <c r="K12" s="74" t="s">
        <v>150</v>
      </c>
      <c r="M12" s="74" t="s">
        <v>150</v>
      </c>
      <c r="O12" s="74" t="s">
        <v>150</v>
      </c>
      <c r="Q12" s="254" t="s">
        <v>151</v>
      </c>
    </row>
    <row r="13" spans="1:17" ht="28.8" x14ac:dyDescent="0.3">
      <c r="B13" s="65"/>
      <c r="C13" s="61"/>
      <c r="D13" s="61"/>
      <c r="E13" s="61"/>
      <c r="F13" s="32"/>
      <c r="G13" s="76" t="s">
        <v>155</v>
      </c>
      <c r="I13" s="74" t="s">
        <v>152</v>
      </c>
      <c r="K13" s="74" t="s">
        <v>153</v>
      </c>
      <c r="M13" s="74" t="s">
        <v>130</v>
      </c>
      <c r="O13" s="88">
        <v>45107</v>
      </c>
      <c r="Q13" s="255"/>
    </row>
    <row r="14" spans="1:17" x14ac:dyDescent="0.3">
      <c r="B14" s="61"/>
      <c r="C14" s="61"/>
      <c r="D14" s="61"/>
      <c r="E14" s="61"/>
    </row>
    <row r="15" spans="1:17" x14ac:dyDescent="0.3">
      <c r="B15" s="329" t="s">
        <v>306</v>
      </c>
      <c r="C15" s="330"/>
      <c r="D15" s="65"/>
      <c r="E15" s="75" t="s">
        <v>326</v>
      </c>
      <c r="F15" s="65"/>
      <c r="G15" s="75"/>
      <c r="H15" s="65"/>
      <c r="I15" s="75"/>
      <c r="J15" s="2"/>
      <c r="K15" s="75"/>
      <c r="L15" s="2"/>
      <c r="M15" s="139">
        <v>3352.5</v>
      </c>
      <c r="O15" s="131">
        <v>0</v>
      </c>
      <c r="Q15" s="94">
        <f>+G15+I15+K15+M15+O15</f>
        <v>3352.5</v>
      </c>
    </row>
    <row r="16" spans="1:17" x14ac:dyDescent="0.3">
      <c r="B16" s="329" t="s">
        <v>307</v>
      </c>
      <c r="C16" s="330"/>
      <c r="D16" s="61"/>
      <c r="E16" s="62" t="s">
        <v>327</v>
      </c>
      <c r="G16" s="23"/>
      <c r="I16" s="23"/>
      <c r="K16" s="23"/>
      <c r="M16" s="94">
        <v>7250</v>
      </c>
      <c r="O16" s="94">
        <v>0</v>
      </c>
      <c r="Q16" s="94">
        <f t="shared" ref="Q16:Q37" si="0">+G16+I16+K16+M16+O16</f>
        <v>7250</v>
      </c>
    </row>
    <row r="17" spans="2:17" x14ac:dyDescent="0.3">
      <c r="B17" s="329" t="s">
        <v>273</v>
      </c>
      <c r="C17" s="330"/>
      <c r="D17" s="61"/>
      <c r="E17" s="62" t="s">
        <v>328</v>
      </c>
      <c r="G17" s="23"/>
      <c r="I17" s="23"/>
      <c r="K17" s="23"/>
      <c r="M17" s="94">
        <v>4700</v>
      </c>
      <c r="O17" s="94">
        <v>0</v>
      </c>
      <c r="Q17" s="94">
        <f t="shared" si="0"/>
        <v>4700</v>
      </c>
    </row>
    <row r="18" spans="2:17" x14ac:dyDescent="0.3">
      <c r="B18" s="329" t="s">
        <v>308</v>
      </c>
      <c r="C18" s="330"/>
      <c r="D18" s="61"/>
      <c r="E18" s="62" t="s">
        <v>316</v>
      </c>
      <c r="G18" s="23"/>
      <c r="I18" s="23"/>
      <c r="K18" s="23"/>
      <c r="M18" s="94">
        <v>2100</v>
      </c>
      <c r="O18" s="94">
        <v>0</v>
      </c>
      <c r="Q18" s="94">
        <f t="shared" si="0"/>
        <v>2100</v>
      </c>
    </row>
    <row r="19" spans="2:17" x14ac:dyDescent="0.3">
      <c r="B19" s="329" t="s">
        <v>309</v>
      </c>
      <c r="C19" s="330"/>
      <c r="D19" s="61"/>
      <c r="E19" s="62" t="s">
        <v>261</v>
      </c>
      <c r="G19" s="23"/>
      <c r="I19" s="23"/>
      <c r="K19" s="23"/>
      <c r="M19" s="94">
        <v>5862.62</v>
      </c>
      <c r="O19" s="94">
        <v>0</v>
      </c>
      <c r="Q19" s="94">
        <f t="shared" si="0"/>
        <v>5862.62</v>
      </c>
    </row>
    <row r="20" spans="2:17" x14ac:dyDescent="0.3">
      <c r="B20" s="329" t="s">
        <v>310</v>
      </c>
      <c r="C20" s="330"/>
      <c r="D20" s="61"/>
      <c r="E20" s="62" t="s">
        <v>329</v>
      </c>
      <c r="G20" s="23"/>
      <c r="I20" s="23"/>
      <c r="K20" s="23"/>
      <c r="M20" s="94">
        <v>6190.48</v>
      </c>
      <c r="O20" s="94">
        <v>0</v>
      </c>
      <c r="Q20" s="94">
        <f t="shared" si="0"/>
        <v>6190.48</v>
      </c>
    </row>
    <row r="21" spans="2:17" x14ac:dyDescent="0.3">
      <c r="B21" s="329" t="s">
        <v>287</v>
      </c>
      <c r="C21" s="330"/>
      <c r="D21" s="61"/>
      <c r="E21" s="62" t="s">
        <v>319</v>
      </c>
      <c r="G21" s="23"/>
      <c r="I21" s="23"/>
      <c r="K21" s="23"/>
      <c r="M21" s="94">
        <v>10000</v>
      </c>
      <c r="O21" s="94">
        <v>0</v>
      </c>
      <c r="Q21" s="94">
        <f t="shared" si="0"/>
        <v>10000</v>
      </c>
    </row>
    <row r="22" spans="2:17" x14ac:dyDescent="0.3">
      <c r="B22" s="329" t="s">
        <v>311</v>
      </c>
      <c r="C22" s="330"/>
      <c r="D22" s="61"/>
      <c r="E22" s="62" t="s">
        <v>330</v>
      </c>
      <c r="G22" s="23"/>
      <c r="I22" s="23"/>
      <c r="K22" s="23"/>
      <c r="M22" s="94">
        <v>4000</v>
      </c>
      <c r="O22" s="94">
        <v>0</v>
      </c>
      <c r="Q22" s="94">
        <f t="shared" si="0"/>
        <v>4000</v>
      </c>
    </row>
    <row r="23" spans="2:17" x14ac:dyDescent="0.3">
      <c r="B23" s="329" t="s">
        <v>312</v>
      </c>
      <c r="C23" s="330"/>
      <c r="D23" s="61"/>
      <c r="E23" s="62" t="s">
        <v>331</v>
      </c>
      <c r="G23" s="23"/>
      <c r="I23" s="23"/>
      <c r="K23" s="23"/>
      <c r="M23" s="94">
        <v>3000</v>
      </c>
      <c r="O23" s="94">
        <v>0</v>
      </c>
      <c r="Q23" s="94">
        <f t="shared" si="0"/>
        <v>3000</v>
      </c>
    </row>
    <row r="24" spans="2:17" x14ac:dyDescent="0.3">
      <c r="B24" s="329" t="s">
        <v>313</v>
      </c>
      <c r="C24" s="330"/>
      <c r="D24" s="61"/>
      <c r="E24" s="62" t="s">
        <v>322</v>
      </c>
      <c r="G24" s="23"/>
      <c r="I24" s="23"/>
      <c r="K24" s="23"/>
      <c r="M24" s="94">
        <v>40000</v>
      </c>
      <c r="O24" s="94">
        <v>0</v>
      </c>
      <c r="Q24" s="94">
        <f t="shared" si="0"/>
        <v>40000</v>
      </c>
    </row>
    <row r="25" spans="2:17" x14ac:dyDescent="0.3">
      <c r="B25" s="329" t="s">
        <v>314</v>
      </c>
      <c r="C25" s="330"/>
      <c r="D25" s="61"/>
      <c r="E25" s="62" t="s">
        <v>332</v>
      </c>
      <c r="G25" s="23"/>
      <c r="I25" s="23"/>
      <c r="K25" s="23"/>
      <c r="M25" s="94">
        <v>3307.52</v>
      </c>
      <c r="O25" s="94">
        <v>0</v>
      </c>
      <c r="Q25" s="94">
        <f t="shared" si="0"/>
        <v>3307.52</v>
      </c>
    </row>
    <row r="26" spans="2:17" x14ac:dyDescent="0.3">
      <c r="B26" s="329" t="s">
        <v>306</v>
      </c>
      <c r="C26" s="330"/>
      <c r="D26" s="61"/>
      <c r="E26" s="62" t="s">
        <v>333</v>
      </c>
      <c r="G26" s="23"/>
      <c r="I26" s="23"/>
      <c r="K26" s="23"/>
      <c r="M26" s="94">
        <v>0</v>
      </c>
      <c r="O26" s="94">
        <v>1676.25</v>
      </c>
      <c r="Q26" s="94">
        <f t="shared" si="0"/>
        <v>1676.25</v>
      </c>
    </row>
    <row r="27" spans="2:17" x14ac:dyDescent="0.3">
      <c r="B27" s="329" t="s">
        <v>313</v>
      </c>
      <c r="C27" s="330"/>
      <c r="D27" s="61"/>
      <c r="E27" s="62" t="s">
        <v>315</v>
      </c>
      <c r="G27" s="23"/>
      <c r="I27" s="23"/>
      <c r="K27" s="23"/>
      <c r="M27" s="94">
        <v>0</v>
      </c>
      <c r="O27" s="94">
        <v>3500</v>
      </c>
      <c r="Q27" s="94">
        <f t="shared" si="0"/>
        <v>3500</v>
      </c>
    </row>
    <row r="28" spans="2:17" x14ac:dyDescent="0.3">
      <c r="B28" s="329" t="s">
        <v>316</v>
      </c>
      <c r="C28" s="330"/>
      <c r="D28" s="61"/>
      <c r="E28" s="62" t="s">
        <v>317</v>
      </c>
      <c r="G28" s="23"/>
      <c r="I28" s="23"/>
      <c r="K28" s="23"/>
      <c r="M28" s="94">
        <v>0</v>
      </c>
      <c r="O28" s="94">
        <v>1050</v>
      </c>
      <c r="Q28" s="94">
        <f t="shared" si="0"/>
        <v>1050</v>
      </c>
    </row>
    <row r="29" spans="2:17" x14ac:dyDescent="0.3">
      <c r="B29" s="329" t="s">
        <v>274</v>
      </c>
      <c r="C29" s="330"/>
      <c r="D29" s="61"/>
      <c r="E29" s="62" t="s">
        <v>318</v>
      </c>
      <c r="G29" s="23"/>
      <c r="I29" s="23"/>
      <c r="K29" s="23"/>
      <c r="M29" s="94">
        <v>0</v>
      </c>
      <c r="O29" s="94">
        <v>400</v>
      </c>
      <c r="Q29" s="94">
        <f t="shared" si="0"/>
        <v>400</v>
      </c>
    </row>
    <row r="30" spans="2:17" x14ac:dyDescent="0.3">
      <c r="B30" s="329" t="s">
        <v>324</v>
      </c>
      <c r="C30" s="330"/>
      <c r="D30" s="61"/>
      <c r="E30" s="62" t="s">
        <v>239</v>
      </c>
      <c r="G30" s="23"/>
      <c r="I30" s="23"/>
      <c r="K30" s="23"/>
      <c r="M30" s="94">
        <v>0</v>
      </c>
      <c r="O30" s="94">
        <v>2750</v>
      </c>
      <c r="Q30" s="94">
        <f t="shared" si="0"/>
        <v>2750</v>
      </c>
    </row>
    <row r="31" spans="2:17" x14ac:dyDescent="0.3">
      <c r="B31" s="329" t="s">
        <v>287</v>
      </c>
      <c r="C31" s="330"/>
      <c r="D31" s="61"/>
      <c r="E31" s="62" t="s">
        <v>319</v>
      </c>
      <c r="G31" s="23"/>
      <c r="I31" s="23"/>
      <c r="K31" s="23"/>
      <c r="M31" s="94">
        <v>0</v>
      </c>
      <c r="O31" s="94">
        <v>5000</v>
      </c>
      <c r="Q31" s="94">
        <f t="shared" si="0"/>
        <v>5000</v>
      </c>
    </row>
    <row r="32" spans="2:17" x14ac:dyDescent="0.3">
      <c r="B32" s="329" t="s">
        <v>311</v>
      </c>
      <c r="C32" s="330"/>
      <c r="D32" s="61"/>
      <c r="E32" s="62" t="s">
        <v>320</v>
      </c>
      <c r="G32" s="23"/>
      <c r="I32" s="23"/>
      <c r="K32" s="23"/>
      <c r="M32" s="94">
        <v>0</v>
      </c>
      <c r="O32" s="94">
        <v>9375</v>
      </c>
      <c r="Q32" s="94">
        <f t="shared" si="0"/>
        <v>9375</v>
      </c>
    </row>
    <row r="33" spans="2:17" x14ac:dyDescent="0.3">
      <c r="B33" s="329" t="s">
        <v>334</v>
      </c>
      <c r="C33" s="330"/>
      <c r="D33" s="61"/>
      <c r="E33" s="62" t="s">
        <v>321</v>
      </c>
      <c r="G33" s="23"/>
      <c r="I33" s="23"/>
      <c r="K33" s="23"/>
      <c r="M33" s="94">
        <v>0</v>
      </c>
      <c r="O33" s="94">
        <v>9250</v>
      </c>
      <c r="Q33" s="94">
        <f t="shared" si="0"/>
        <v>9250</v>
      </c>
    </row>
    <row r="34" spans="2:17" x14ac:dyDescent="0.3">
      <c r="B34" s="329" t="s">
        <v>309</v>
      </c>
      <c r="C34" s="330"/>
      <c r="D34" s="61"/>
      <c r="E34" s="62" t="s">
        <v>261</v>
      </c>
      <c r="G34" s="23"/>
      <c r="I34" s="23"/>
      <c r="K34" s="23"/>
      <c r="M34" s="94">
        <v>0</v>
      </c>
      <c r="O34" s="94">
        <v>9303.17</v>
      </c>
      <c r="Q34" s="94">
        <f t="shared" si="0"/>
        <v>9303.17</v>
      </c>
    </row>
    <row r="35" spans="2:17" x14ac:dyDescent="0.3">
      <c r="B35" s="329" t="s">
        <v>313</v>
      </c>
      <c r="C35" s="330"/>
      <c r="D35" s="61"/>
      <c r="E35" s="62" t="s">
        <v>322</v>
      </c>
      <c r="G35" s="23"/>
      <c r="I35" s="23"/>
      <c r="K35" s="23"/>
      <c r="M35" s="94">
        <v>0</v>
      </c>
      <c r="O35" s="94">
        <v>20000</v>
      </c>
      <c r="Q35" s="94">
        <f t="shared" si="0"/>
        <v>20000</v>
      </c>
    </row>
    <row r="36" spans="2:17" x14ac:dyDescent="0.3">
      <c r="B36" s="329" t="s">
        <v>325</v>
      </c>
      <c r="C36" s="330"/>
      <c r="D36" s="61"/>
      <c r="E36" s="62" t="s">
        <v>323</v>
      </c>
      <c r="G36" s="23"/>
      <c r="I36" s="23"/>
      <c r="K36" s="23"/>
      <c r="M36" s="94">
        <v>0</v>
      </c>
      <c r="O36" s="94">
        <v>1125</v>
      </c>
      <c r="Q36" s="94">
        <f t="shared" si="0"/>
        <v>1125</v>
      </c>
    </row>
    <row r="37" spans="2:17" ht="12.6" customHeight="1" x14ac:dyDescent="0.3">
      <c r="B37" s="329"/>
      <c r="C37" s="330"/>
      <c r="D37" s="61"/>
      <c r="E37" s="62"/>
      <c r="F37" s="61"/>
      <c r="G37" s="62"/>
      <c r="H37" s="61"/>
      <c r="I37" s="62"/>
      <c r="K37" s="62"/>
      <c r="M37" s="62"/>
      <c r="O37" s="62"/>
      <c r="Q37" s="94">
        <f t="shared" si="0"/>
        <v>0</v>
      </c>
    </row>
    <row r="38" spans="2:17" ht="4.5" customHeight="1" x14ac:dyDescent="0.3">
      <c r="B38" s="61"/>
      <c r="C38" s="61"/>
      <c r="D38" s="61"/>
      <c r="E38" s="61"/>
      <c r="F38" s="61"/>
      <c r="G38" s="61"/>
      <c r="H38" s="61"/>
      <c r="M38" s="2"/>
    </row>
    <row r="39" spans="2:17" s="2" customFormat="1" x14ac:dyDescent="0.3">
      <c r="B39" s="65" t="s">
        <v>136</v>
      </c>
      <c r="C39" s="65"/>
      <c r="D39" s="65"/>
      <c r="E39" s="65"/>
      <c r="F39" s="65"/>
      <c r="G39" s="78">
        <f>SUM(G15:G37)</f>
        <v>0</v>
      </c>
      <c r="H39" s="65"/>
      <c r="I39" s="78">
        <f>SUM(I15:I37)</f>
        <v>0</v>
      </c>
      <c r="K39" s="78">
        <f>SUM(K15:K37)</f>
        <v>0</v>
      </c>
      <c r="M39" s="78">
        <f>SUM(M15:M37)</f>
        <v>89763.12000000001</v>
      </c>
      <c r="O39" s="78">
        <f>SUM(O15:O37)</f>
        <v>63429.42</v>
      </c>
      <c r="Q39" s="78">
        <f>SUM(Q15:Q37)</f>
        <v>153192.54</v>
      </c>
    </row>
    <row r="40" spans="2:17" x14ac:dyDescent="0.3">
      <c r="B40" s="61"/>
      <c r="C40" s="61"/>
      <c r="D40" s="61"/>
      <c r="E40" s="61"/>
      <c r="F40" s="61"/>
      <c r="G40" s="61"/>
      <c r="H40" s="61"/>
      <c r="M40" s="2"/>
    </row>
    <row r="41" spans="2:17" s="8" customFormat="1" ht="15" customHeight="1" x14ac:dyDescent="0.3">
      <c r="B41" s="61"/>
      <c r="C41" s="61"/>
      <c r="D41" s="61"/>
      <c r="E41" s="61"/>
      <c r="F41"/>
      <c r="G41"/>
      <c r="H41"/>
      <c r="I41"/>
      <c r="J41"/>
      <c r="K41"/>
      <c r="L41"/>
      <c r="M41"/>
    </row>
    <row r="42" spans="2:17" s="8" customFormat="1" ht="9.6" customHeight="1" x14ac:dyDescent="0.3">
      <c r="B42" s="61"/>
      <c r="C42" s="61"/>
      <c r="D42" s="61"/>
      <c r="E42" s="61"/>
      <c r="F42"/>
      <c r="G42"/>
      <c r="H42"/>
      <c r="I42"/>
      <c r="J42"/>
      <c r="K42"/>
      <c r="L42"/>
      <c r="M42"/>
    </row>
    <row r="43" spans="2:17" x14ac:dyDescent="0.3">
      <c r="B43" s="10"/>
      <c r="C43" s="10"/>
    </row>
    <row r="44" spans="2:17" x14ac:dyDescent="0.3">
      <c r="B44" s="2" t="s">
        <v>1</v>
      </c>
    </row>
    <row r="45" spans="2:17" x14ac:dyDescent="0.3">
      <c r="B45" s="2" t="s">
        <v>2</v>
      </c>
    </row>
    <row r="46" spans="2:17" x14ac:dyDescent="0.3">
      <c r="B46" s="2" t="s">
        <v>3</v>
      </c>
    </row>
  </sheetData>
  <mergeCells count="28">
    <mergeCell ref="B16:C16"/>
    <mergeCell ref="B37:C37"/>
    <mergeCell ref="A6:Q6"/>
    <mergeCell ref="A7:Q7"/>
    <mergeCell ref="A8:Q8"/>
    <mergeCell ref="B12:C12"/>
    <mergeCell ref="Q12:Q13"/>
    <mergeCell ref="B15:C15"/>
    <mergeCell ref="B17:C17"/>
    <mergeCell ref="B18:C18"/>
    <mergeCell ref="B19:C19"/>
    <mergeCell ref="B20:C20"/>
    <mergeCell ref="B21:C21"/>
    <mergeCell ref="B22:C22"/>
    <mergeCell ref="B23:C23"/>
    <mergeCell ref="B24:C24"/>
    <mergeCell ref="B25:C25"/>
    <mergeCell ref="B26:C26"/>
    <mergeCell ref="B27:C27"/>
    <mergeCell ref="B33:C33"/>
    <mergeCell ref="B34:C34"/>
    <mergeCell ref="B35:C35"/>
    <mergeCell ref="B36:C36"/>
    <mergeCell ref="B28:C28"/>
    <mergeCell ref="B29:C29"/>
    <mergeCell ref="B30:C30"/>
    <mergeCell ref="B31:C31"/>
    <mergeCell ref="B32:C32"/>
  </mergeCells>
  <pageMargins left="0.39370078740157499" right="0.39370078740157499" top="0.39370078740157499" bottom="0.39370078740157499" header="0.196850393700787" footer="0.196850393700787"/>
  <pageSetup paperSize="9" scale="80" firstPageNumber="21" orientation="landscape" useFirstPageNumber="1" r:id="rId1"/>
  <headerFooter>
    <oddFooter>&amp;C&amp;"-,Bold"&amp;10&amp;P&amp;R&amp;9&amp;K09-021Financial audit - interim review 2023</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2E952-F158-4A15-8D7A-D043EAF4F649}">
  <dimension ref="A5:M37"/>
  <sheetViews>
    <sheetView showGridLines="0" view="pageBreakPreview" zoomScaleNormal="100" zoomScaleSheetLayoutView="100" workbookViewId="0">
      <pane ySplit="8" topLeftCell="A12" activePane="bottomLeft" state="frozen"/>
      <selection activeCell="K23" sqref="K23"/>
      <selection pane="bottomLeft" activeCell="K16" sqref="K16:K28"/>
    </sheetView>
  </sheetViews>
  <sheetFormatPr defaultRowHeight="14.4" x14ac:dyDescent="0.3"/>
  <cols>
    <col min="1" max="1" width="5" customWidth="1"/>
    <col min="2" max="3" width="16.44140625" customWidth="1"/>
    <col min="4" max="4" width="13.5546875" customWidth="1"/>
    <col min="5" max="5" width="3.33203125" customWidth="1"/>
    <col min="6" max="6" width="41.6640625" customWidth="1"/>
    <col min="7" max="7" width="4.44140625" customWidth="1"/>
    <col min="8" max="8" width="62.109375" customWidth="1"/>
    <col min="9" max="9" width="1.33203125" customWidth="1"/>
    <col min="10" max="10" width="2.109375" customWidth="1"/>
    <col min="11" max="11" width="13.6640625" customWidth="1"/>
    <col min="12" max="12" width="0.6640625" customWidth="1"/>
  </cols>
  <sheetData>
    <row r="5" spans="1:13" s="152" customFormat="1" ht="20.100000000000001" customHeight="1" x14ac:dyDescent="0.3">
      <c r="A5" s="335" t="s">
        <v>282</v>
      </c>
      <c r="B5" s="336"/>
      <c r="C5" s="336"/>
      <c r="D5" s="336"/>
      <c r="E5" s="336"/>
      <c r="F5" s="336"/>
      <c r="G5" s="336"/>
      <c r="H5" s="336"/>
      <c r="I5" s="336"/>
      <c r="J5" s="336"/>
      <c r="K5" s="336"/>
      <c r="L5" s="336"/>
    </row>
    <row r="6" spans="1:13" s="152" customFormat="1" ht="20.100000000000001" customHeight="1" x14ac:dyDescent="0.3">
      <c r="A6" s="335" t="s">
        <v>154</v>
      </c>
      <c r="B6" s="336"/>
      <c r="C6" s="336"/>
      <c r="D6" s="336"/>
      <c r="E6" s="336"/>
      <c r="F6" s="336"/>
      <c r="G6" s="336"/>
      <c r="H6" s="336"/>
      <c r="I6" s="336"/>
      <c r="J6" s="336"/>
      <c r="K6" s="336"/>
      <c r="L6" s="336"/>
    </row>
    <row r="7" spans="1:13" ht="20.100000000000001" customHeight="1" x14ac:dyDescent="0.3">
      <c r="A7" s="335" t="s">
        <v>187</v>
      </c>
      <c r="B7" s="336"/>
      <c r="C7" s="336"/>
      <c r="D7" s="336"/>
      <c r="E7" s="336"/>
      <c r="F7" s="336"/>
      <c r="G7" s="336"/>
      <c r="H7" s="336"/>
      <c r="I7" s="336"/>
      <c r="J7" s="336"/>
      <c r="K7" s="336"/>
      <c r="L7" s="336"/>
    </row>
    <row r="8" spans="1:13" ht="9.6" customHeight="1" x14ac:dyDescent="0.3"/>
    <row r="9" spans="1:13" ht="22.2" customHeight="1" x14ac:dyDescent="0.3">
      <c r="B9" s="2" t="s">
        <v>129</v>
      </c>
    </row>
    <row r="10" spans="1:13" ht="22.2" customHeight="1" x14ac:dyDescent="0.3">
      <c r="B10" s="2"/>
      <c r="M10" t="s">
        <v>185</v>
      </c>
    </row>
    <row r="11" spans="1:13" ht="17.399999999999999" customHeight="1" x14ac:dyDescent="0.3">
      <c r="B11" s="30" t="s">
        <v>336</v>
      </c>
      <c r="C11" s="58"/>
      <c r="E11" s="58"/>
      <c r="J11" s="59"/>
      <c r="M11" t="s">
        <v>186</v>
      </c>
    </row>
    <row r="12" spans="1:13" x14ac:dyDescent="0.3">
      <c r="B12" s="61"/>
      <c r="C12" s="61"/>
      <c r="D12" s="61"/>
    </row>
    <row r="13" spans="1:13" x14ac:dyDescent="0.3">
      <c r="B13" s="293" t="s">
        <v>128</v>
      </c>
      <c r="C13" s="293"/>
      <c r="D13" s="293"/>
      <c r="E13" s="293"/>
      <c r="F13" s="293"/>
      <c r="G13" s="293"/>
      <c r="H13" s="293"/>
      <c r="K13" s="334" t="s">
        <v>93</v>
      </c>
    </row>
    <row r="14" spans="1:13" x14ac:dyDescent="0.3">
      <c r="B14" s="293"/>
      <c r="C14" s="293"/>
      <c r="D14" s="293"/>
      <c r="E14" s="293"/>
      <c r="F14" s="293"/>
      <c r="G14" s="293"/>
      <c r="H14" s="293"/>
      <c r="I14" s="65"/>
      <c r="K14" s="334"/>
      <c r="L14" s="2"/>
    </row>
    <row r="15" spans="1:13" ht="7.2" customHeight="1" x14ac:dyDescent="0.3">
      <c r="B15" s="61"/>
      <c r="C15" s="61"/>
      <c r="D15" s="61"/>
    </row>
    <row r="16" spans="1:13" s="8" customFormat="1" ht="18.600000000000001" customHeight="1" x14ac:dyDescent="0.3">
      <c r="B16" s="291" t="s">
        <v>337</v>
      </c>
      <c r="C16" s="291"/>
      <c r="D16" s="291"/>
      <c r="E16" s="291"/>
      <c r="F16" s="291"/>
      <c r="G16" s="291"/>
      <c r="H16" s="291"/>
      <c r="K16" s="102"/>
    </row>
    <row r="17" spans="2:12" ht="6" customHeight="1" x14ac:dyDescent="0.3">
      <c r="B17" s="61"/>
      <c r="C17" s="61"/>
      <c r="D17" s="61"/>
      <c r="K17" s="117"/>
    </row>
    <row r="18" spans="2:12" x14ac:dyDescent="0.3">
      <c r="B18" s="327"/>
      <c r="C18" s="327"/>
      <c r="D18" s="327"/>
      <c r="E18" s="327"/>
      <c r="F18" s="327"/>
      <c r="G18" s="327"/>
      <c r="H18" s="327"/>
      <c r="I18" s="61"/>
      <c r="K18" s="94"/>
    </row>
    <row r="19" spans="2:12" x14ac:dyDescent="0.3">
      <c r="B19" s="327"/>
      <c r="C19" s="327"/>
      <c r="D19" s="327"/>
      <c r="E19" s="327"/>
      <c r="F19" s="327"/>
      <c r="G19" s="327"/>
      <c r="H19" s="327"/>
      <c r="I19" s="61"/>
      <c r="K19" s="94"/>
    </row>
    <row r="20" spans="2:12" ht="12.6" customHeight="1" x14ac:dyDescent="0.3">
      <c r="B20" s="292" t="s">
        <v>299</v>
      </c>
      <c r="C20" s="292"/>
      <c r="D20" s="292"/>
      <c r="E20" s="292"/>
      <c r="F20" s="292"/>
      <c r="G20" s="292"/>
      <c r="H20" s="292"/>
      <c r="I20" s="61"/>
      <c r="K20" s="94"/>
    </row>
    <row r="21" spans="2:12" x14ac:dyDescent="0.3">
      <c r="B21" s="327"/>
      <c r="C21" s="327"/>
      <c r="D21" s="327"/>
      <c r="E21" s="327"/>
      <c r="F21" s="327"/>
      <c r="G21" s="327"/>
      <c r="H21" s="327"/>
      <c r="I21" s="61"/>
      <c r="K21" s="94"/>
    </row>
    <row r="22" spans="2:12" ht="16.2" customHeight="1" x14ac:dyDescent="0.3">
      <c r="B22" s="327"/>
      <c r="C22" s="327"/>
      <c r="D22" s="327"/>
      <c r="E22" s="327"/>
      <c r="F22" s="327"/>
      <c r="G22" s="327"/>
      <c r="H22" s="327"/>
      <c r="I22" s="61"/>
      <c r="K22" s="94"/>
    </row>
    <row r="23" spans="2:12" ht="16.2" customHeight="1" x14ac:dyDescent="0.3">
      <c r="B23" s="327"/>
      <c r="C23" s="327"/>
      <c r="D23" s="327"/>
      <c r="E23" s="327"/>
      <c r="F23" s="327"/>
      <c r="G23" s="327"/>
      <c r="H23" s="327"/>
      <c r="I23" s="61"/>
      <c r="K23" s="94"/>
    </row>
    <row r="24" spans="2:12" s="30" customFormat="1" ht="14.4" customHeight="1" x14ac:dyDescent="0.3">
      <c r="B24" s="327"/>
      <c r="C24" s="327"/>
      <c r="D24" s="327"/>
      <c r="E24" s="327"/>
      <c r="F24" s="327"/>
      <c r="G24" s="327"/>
      <c r="H24" s="327"/>
      <c r="I24" s="67"/>
      <c r="K24" s="118"/>
      <c r="L24" s="2"/>
    </row>
    <row r="25" spans="2:12" s="30" customFormat="1" ht="9.6" customHeight="1" x14ac:dyDescent="0.3">
      <c r="B25" s="60"/>
      <c r="C25" s="60"/>
      <c r="D25" s="60"/>
      <c r="E25" s="60"/>
      <c r="F25" s="60"/>
      <c r="G25" s="60"/>
      <c r="H25" s="60"/>
      <c r="I25" s="67"/>
      <c r="K25" s="119"/>
      <c r="L25" s="2"/>
    </row>
    <row r="26" spans="2:12" s="8" customFormat="1" ht="19.2" customHeight="1" x14ac:dyDescent="0.3">
      <c r="B26" s="291" t="s">
        <v>338</v>
      </c>
      <c r="C26" s="291"/>
      <c r="D26" s="291"/>
      <c r="E26" s="291"/>
      <c r="F26" s="291"/>
      <c r="G26" s="291"/>
      <c r="H26" s="291"/>
      <c r="I26" s="67"/>
      <c r="J26" s="30"/>
      <c r="K26" s="118"/>
      <c r="L26"/>
    </row>
    <row r="27" spans="2:12" s="8" customFormat="1" ht="9" customHeight="1" x14ac:dyDescent="0.3">
      <c r="B27" s="61"/>
      <c r="C27" s="61"/>
      <c r="D27" s="61"/>
      <c r="E27"/>
      <c r="F27"/>
      <c r="G27"/>
      <c r="H27"/>
      <c r="I27"/>
      <c r="J27"/>
      <c r="K27" s="117"/>
      <c r="L27"/>
    </row>
    <row r="28" spans="2:12" s="8" customFormat="1" ht="15" customHeight="1" x14ac:dyDescent="0.3">
      <c r="B28" s="281" t="s">
        <v>131</v>
      </c>
      <c r="C28" s="281"/>
      <c r="D28" s="281"/>
      <c r="E28" s="281"/>
      <c r="F28" s="281"/>
      <c r="G28" s="281"/>
      <c r="H28" s="281"/>
      <c r="I28"/>
      <c r="J28"/>
      <c r="K28" s="94"/>
      <c r="L28"/>
    </row>
    <row r="29" spans="2:12" s="8" customFormat="1" ht="10.95" customHeight="1" x14ac:dyDescent="0.3">
      <c r="B29" s="61"/>
      <c r="C29" s="61"/>
      <c r="D29" s="61"/>
      <c r="E29"/>
      <c r="F29"/>
      <c r="G29"/>
      <c r="H29"/>
      <c r="I29"/>
      <c r="J29"/>
      <c r="K29"/>
      <c r="L29"/>
    </row>
    <row r="30" spans="2:12" s="8" customFormat="1" ht="15" customHeight="1" x14ac:dyDescent="0.3">
      <c r="B30" s="281" t="s">
        <v>81</v>
      </c>
      <c r="C30" s="281"/>
      <c r="D30" s="281"/>
      <c r="E30" s="281"/>
      <c r="F30" s="281"/>
      <c r="G30" s="281"/>
      <c r="H30" s="281"/>
      <c r="I30"/>
      <c r="J30"/>
      <c r="K30" s="145">
        <f>K26-K28</f>
        <v>0</v>
      </c>
      <c r="L30"/>
    </row>
    <row r="31" spans="2:12" s="8" customFormat="1" ht="9.6" customHeight="1" x14ac:dyDescent="0.3">
      <c r="B31" s="61"/>
      <c r="C31" s="61"/>
      <c r="D31" s="61"/>
      <c r="E31"/>
      <c r="F31"/>
      <c r="G31"/>
      <c r="H31"/>
      <c r="I31"/>
      <c r="J31"/>
      <c r="K31"/>
      <c r="L31"/>
    </row>
    <row r="32" spans="2:12" s="8" customFormat="1" ht="15" customHeight="1" x14ac:dyDescent="0.3">
      <c r="B32" s="285" t="s">
        <v>132</v>
      </c>
      <c r="C32" s="286"/>
      <c r="D32" s="286"/>
      <c r="E32" s="286"/>
      <c r="F32" s="286"/>
      <c r="G32" s="286"/>
      <c r="H32" s="286"/>
      <c r="I32" s="286"/>
      <c r="J32" s="286"/>
      <c r="K32" s="287"/>
      <c r="L32"/>
    </row>
    <row r="33" spans="2:12" s="8" customFormat="1" ht="15" customHeight="1" x14ac:dyDescent="0.3">
      <c r="B33" s="288"/>
      <c r="C33" s="289"/>
      <c r="D33" s="289"/>
      <c r="E33" s="289"/>
      <c r="F33" s="289"/>
      <c r="G33" s="289"/>
      <c r="H33" s="289"/>
      <c r="I33" s="289"/>
      <c r="J33" s="289"/>
      <c r="K33" s="290"/>
      <c r="L33"/>
    </row>
    <row r="34" spans="2:12" ht="55.2" customHeight="1" x14ac:dyDescent="0.3">
      <c r="B34" s="10"/>
      <c r="C34" s="10"/>
    </row>
    <row r="35" spans="2:12" x14ac:dyDescent="0.3">
      <c r="B35" s="2" t="s">
        <v>1</v>
      </c>
    </row>
    <row r="36" spans="2:12" x14ac:dyDescent="0.3">
      <c r="B36" s="2" t="s">
        <v>2</v>
      </c>
    </row>
    <row r="37" spans="2:12" x14ac:dyDescent="0.3">
      <c r="B37" s="2" t="s">
        <v>3</v>
      </c>
    </row>
  </sheetData>
  <mergeCells count="17">
    <mergeCell ref="A5:L5"/>
    <mergeCell ref="A6:L6"/>
    <mergeCell ref="A7:L7"/>
    <mergeCell ref="B26:H26"/>
    <mergeCell ref="B28:H28"/>
    <mergeCell ref="B30:H30"/>
    <mergeCell ref="B32:K33"/>
    <mergeCell ref="B22:H22"/>
    <mergeCell ref="B23:H23"/>
    <mergeCell ref="K13:K14"/>
    <mergeCell ref="B13:H14"/>
    <mergeCell ref="B24:H24"/>
    <mergeCell ref="B16:H16"/>
    <mergeCell ref="B18:H18"/>
    <mergeCell ref="B19:H19"/>
    <mergeCell ref="B20:H20"/>
    <mergeCell ref="B21:H21"/>
  </mergeCells>
  <pageMargins left="0.59055118110236204" right="0.196850393700787" top="0.39370078740157499" bottom="0.196850393700787" header="0.196850393700787" footer="0.196850393700787"/>
  <pageSetup paperSize="9" scale="76" firstPageNumber="22" orientation="landscape" useFirstPageNumber="1" r:id="rId1"/>
  <headerFooter>
    <oddFooter>&amp;C&amp;"-,Bold"&amp;10&amp;P&amp;R&amp;9&amp;K09-022Financial audit - interim review 2023</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BD875-1003-4806-8436-BEE58BC59534}">
  <dimension ref="A5:O35"/>
  <sheetViews>
    <sheetView showGridLines="0" view="pageBreakPreview" zoomScaleNormal="100" zoomScaleSheetLayoutView="100" workbookViewId="0">
      <pane ySplit="8" topLeftCell="A9" activePane="bottomLeft" state="frozen"/>
      <selection activeCell="K23" sqref="K23"/>
      <selection pane="bottomLeft" activeCell="K14" sqref="K14:K28"/>
    </sheetView>
  </sheetViews>
  <sheetFormatPr defaultRowHeight="14.4" x14ac:dyDescent="0.3"/>
  <cols>
    <col min="1" max="1" width="5" customWidth="1"/>
    <col min="2" max="3" width="16.44140625" customWidth="1"/>
    <col min="4" max="4" width="13.5546875" customWidth="1"/>
    <col min="5" max="5" width="3.33203125" customWidth="1"/>
    <col min="6" max="6" width="41.6640625" customWidth="1"/>
    <col min="7" max="7" width="4.44140625" customWidth="1"/>
    <col min="8" max="8" width="60.6640625" customWidth="1"/>
    <col min="9" max="9" width="1.33203125" customWidth="1"/>
    <col min="10" max="10" width="2.109375" customWidth="1"/>
    <col min="11" max="11" width="13.6640625" customWidth="1"/>
    <col min="12" max="12" width="2.5546875" customWidth="1"/>
    <col min="13" max="13" width="6.6640625" customWidth="1"/>
  </cols>
  <sheetData>
    <row r="5" spans="1:15" s="152" customFormat="1" ht="20.100000000000001" customHeight="1" x14ac:dyDescent="0.3">
      <c r="A5" s="335" t="s">
        <v>282</v>
      </c>
      <c r="B5" s="336"/>
      <c r="C5" s="336"/>
      <c r="D5" s="336"/>
      <c r="E5" s="336"/>
      <c r="F5" s="336"/>
      <c r="G5" s="336"/>
      <c r="H5" s="336"/>
      <c r="I5" s="336"/>
      <c r="J5" s="336"/>
      <c r="K5" s="336"/>
      <c r="L5" s="336"/>
    </row>
    <row r="6" spans="1:15" s="152" customFormat="1" ht="20.100000000000001" customHeight="1" x14ac:dyDescent="0.3">
      <c r="A6" s="335" t="s">
        <v>154</v>
      </c>
      <c r="B6" s="336"/>
      <c r="C6" s="336"/>
      <c r="D6" s="336"/>
      <c r="E6" s="336"/>
      <c r="F6" s="336"/>
      <c r="G6" s="336"/>
      <c r="H6" s="336"/>
      <c r="I6" s="336"/>
      <c r="J6" s="336"/>
      <c r="K6" s="336"/>
      <c r="L6" s="336"/>
    </row>
    <row r="7" spans="1:15" ht="20.399999999999999" customHeight="1" x14ac:dyDescent="0.35">
      <c r="A7" s="335" t="s">
        <v>202</v>
      </c>
      <c r="B7" s="336"/>
      <c r="C7" s="336"/>
      <c r="D7" s="336"/>
      <c r="E7" s="336"/>
      <c r="F7" s="336"/>
      <c r="G7" s="336"/>
      <c r="H7" s="336"/>
      <c r="I7" s="336"/>
      <c r="J7" s="336"/>
      <c r="K7" s="336"/>
      <c r="L7" s="336"/>
      <c r="M7" s="87"/>
      <c r="N7" s="15"/>
      <c r="O7" s="15"/>
    </row>
    <row r="8" spans="1:15" ht="9.6" customHeight="1" x14ac:dyDescent="0.3"/>
    <row r="9" spans="1:15" ht="17.399999999999999" customHeight="1" x14ac:dyDescent="0.3">
      <c r="B9" s="30" t="s">
        <v>303</v>
      </c>
      <c r="C9" s="58"/>
      <c r="E9" s="58"/>
      <c r="J9" s="59"/>
    </row>
    <row r="10" spans="1:15" x14ac:dyDescent="0.3">
      <c r="B10" s="61"/>
      <c r="C10" s="61"/>
      <c r="D10" s="61"/>
    </row>
    <row r="11" spans="1:15" x14ac:dyDescent="0.3">
      <c r="B11" s="293" t="s">
        <v>304</v>
      </c>
      <c r="C11" s="293"/>
      <c r="D11" s="293"/>
      <c r="E11" s="293"/>
      <c r="F11" s="293"/>
      <c r="G11" s="293"/>
      <c r="H11" s="293"/>
      <c r="K11" s="334" t="s">
        <v>93</v>
      </c>
      <c r="M11" s="86" t="s">
        <v>188</v>
      </c>
    </row>
    <row r="12" spans="1:15" x14ac:dyDescent="0.3">
      <c r="B12" s="293"/>
      <c r="C12" s="293"/>
      <c r="D12" s="293"/>
      <c r="E12" s="293"/>
      <c r="F12" s="293"/>
      <c r="G12" s="293"/>
      <c r="H12" s="293"/>
      <c r="I12" s="65"/>
      <c r="K12" s="334"/>
      <c r="L12" s="2"/>
      <c r="M12" s="85">
        <v>1</v>
      </c>
      <c r="N12" t="s">
        <v>189</v>
      </c>
    </row>
    <row r="13" spans="1:15" ht="7.2" customHeight="1" x14ac:dyDescent="0.3">
      <c r="B13" s="61"/>
      <c r="C13" s="61"/>
      <c r="D13" s="61"/>
    </row>
    <row r="14" spans="1:15" s="8" customFormat="1" ht="18.600000000000001" customHeight="1" x14ac:dyDescent="0.3">
      <c r="B14" s="291" t="s">
        <v>168</v>
      </c>
      <c r="C14" s="291"/>
      <c r="D14" s="291"/>
      <c r="E14" s="291"/>
      <c r="F14" s="291"/>
      <c r="G14" s="291"/>
      <c r="H14" s="291"/>
      <c r="K14" s="102"/>
      <c r="M14" s="8">
        <v>2</v>
      </c>
      <c r="N14" s="8" t="s">
        <v>207</v>
      </c>
    </row>
    <row r="15" spans="1:15" ht="6" customHeight="1" x14ac:dyDescent="0.3">
      <c r="B15" s="61"/>
      <c r="C15" s="61"/>
      <c r="D15" s="61"/>
    </row>
    <row r="16" spans="1:15" x14ac:dyDescent="0.3">
      <c r="B16" s="327"/>
      <c r="C16" s="327"/>
      <c r="D16" s="327"/>
      <c r="E16" s="327"/>
      <c r="F16" s="327"/>
      <c r="G16" s="327"/>
      <c r="H16" s="327"/>
      <c r="I16" s="61"/>
      <c r="K16" s="23"/>
    </row>
    <row r="17" spans="2:13" x14ac:dyDescent="0.3">
      <c r="B17" s="292" t="s">
        <v>305</v>
      </c>
      <c r="C17" s="292"/>
      <c r="D17" s="292"/>
      <c r="E17" s="292"/>
      <c r="F17" s="292"/>
      <c r="G17" s="292"/>
      <c r="H17" s="292"/>
      <c r="I17" s="61"/>
      <c r="K17" s="94"/>
    </row>
    <row r="18" spans="2:13" ht="12.6" customHeight="1" x14ac:dyDescent="0.3">
      <c r="B18" s="327"/>
      <c r="C18" s="327"/>
      <c r="D18" s="327"/>
      <c r="E18" s="327"/>
      <c r="F18" s="327"/>
      <c r="G18" s="327"/>
      <c r="H18" s="327"/>
      <c r="I18" s="61"/>
      <c r="K18" s="23"/>
    </row>
    <row r="19" spans="2:13" x14ac:dyDescent="0.3">
      <c r="B19" s="327"/>
      <c r="C19" s="327"/>
      <c r="D19" s="327"/>
      <c r="E19" s="327"/>
      <c r="F19" s="327"/>
      <c r="G19" s="327"/>
      <c r="H19" s="327"/>
      <c r="I19" s="61"/>
      <c r="K19" s="23"/>
      <c r="M19" s="2"/>
    </row>
    <row r="20" spans="2:13" ht="16.2" customHeight="1" x14ac:dyDescent="0.3">
      <c r="B20" s="327"/>
      <c r="C20" s="327"/>
      <c r="D20" s="327"/>
      <c r="E20" s="327"/>
      <c r="F20" s="327"/>
      <c r="G20" s="327"/>
      <c r="H20" s="327"/>
      <c r="I20" s="61"/>
      <c r="K20" s="23"/>
    </row>
    <row r="21" spans="2:13" ht="16.2" customHeight="1" x14ac:dyDescent="0.3">
      <c r="B21" s="327"/>
      <c r="C21" s="327"/>
      <c r="D21" s="327"/>
      <c r="E21" s="327"/>
      <c r="F21" s="327"/>
      <c r="G21" s="327"/>
      <c r="H21" s="327"/>
      <c r="I21" s="61"/>
      <c r="K21" s="23"/>
    </row>
    <row r="22" spans="2:13" s="30" customFormat="1" ht="14.4" customHeight="1" x14ac:dyDescent="0.3">
      <c r="B22" s="327"/>
      <c r="C22" s="327"/>
      <c r="D22" s="327"/>
      <c r="E22" s="327"/>
      <c r="F22" s="327"/>
      <c r="G22" s="327"/>
      <c r="H22" s="327"/>
      <c r="I22" s="67"/>
      <c r="K22" s="66"/>
      <c r="L22" s="2"/>
      <c r="M22" s="2"/>
    </row>
    <row r="23" spans="2:13" s="30" customFormat="1" ht="9.6" customHeight="1" x14ac:dyDescent="0.3">
      <c r="B23" s="60"/>
      <c r="C23" s="60"/>
      <c r="D23" s="60"/>
      <c r="E23" s="60"/>
      <c r="F23" s="60"/>
      <c r="G23" s="60"/>
      <c r="H23" s="60"/>
      <c r="I23" s="67"/>
      <c r="K23" s="67"/>
      <c r="L23" s="2"/>
      <c r="M23" s="2"/>
    </row>
    <row r="24" spans="2:13" s="8" customFormat="1" ht="19.2" customHeight="1" x14ac:dyDescent="0.3">
      <c r="B24" s="291" t="s">
        <v>169</v>
      </c>
      <c r="C24" s="291"/>
      <c r="D24" s="291"/>
      <c r="E24" s="291"/>
      <c r="F24" s="291"/>
      <c r="G24" s="291"/>
      <c r="H24" s="291"/>
      <c r="I24" s="67"/>
      <c r="J24" s="30"/>
      <c r="K24" s="136"/>
      <c r="L24"/>
      <c r="M24"/>
    </row>
    <row r="25" spans="2:13" s="8" customFormat="1" ht="9" customHeight="1" x14ac:dyDescent="0.3">
      <c r="B25" s="61"/>
      <c r="C25" s="61"/>
      <c r="D25" s="61"/>
      <c r="E25"/>
      <c r="F25"/>
      <c r="G25"/>
      <c r="H25"/>
      <c r="I25"/>
      <c r="J25"/>
      <c r="K25"/>
      <c r="L25"/>
      <c r="M25"/>
    </row>
    <row r="26" spans="2:13" s="8" customFormat="1" ht="15" customHeight="1" x14ac:dyDescent="0.3">
      <c r="B26" s="281" t="s">
        <v>131</v>
      </c>
      <c r="C26" s="281"/>
      <c r="D26" s="281"/>
      <c r="E26" s="281"/>
      <c r="F26" s="281"/>
      <c r="G26" s="281"/>
      <c r="H26" s="281"/>
      <c r="I26"/>
      <c r="J26"/>
      <c r="K26" s="137"/>
      <c r="L26"/>
      <c r="M26"/>
    </row>
    <row r="27" spans="2:13" s="8" customFormat="1" ht="10.95" customHeight="1" x14ac:dyDescent="0.3">
      <c r="B27" s="61"/>
      <c r="C27" s="61"/>
      <c r="D27" s="61"/>
      <c r="E27"/>
      <c r="F27"/>
      <c r="G27"/>
      <c r="H27"/>
      <c r="I27"/>
      <c r="J27"/>
      <c r="K27"/>
      <c r="L27"/>
      <c r="M27"/>
    </row>
    <row r="28" spans="2:13" s="8" customFormat="1" ht="15" customHeight="1" x14ac:dyDescent="0.3">
      <c r="B28" s="281" t="s">
        <v>81</v>
      </c>
      <c r="C28" s="281"/>
      <c r="D28" s="281"/>
      <c r="E28" s="281"/>
      <c r="F28" s="281"/>
      <c r="G28" s="281"/>
      <c r="H28" s="281"/>
      <c r="I28"/>
      <c r="J28"/>
      <c r="K28" s="138"/>
      <c r="L28"/>
      <c r="M28"/>
    </row>
    <row r="29" spans="2:13" s="8" customFormat="1" ht="9.6" customHeight="1" x14ac:dyDescent="0.3">
      <c r="B29" s="61"/>
      <c r="C29" s="61"/>
      <c r="D29" s="61"/>
      <c r="E29"/>
      <c r="F29"/>
      <c r="G29"/>
      <c r="H29"/>
      <c r="I29"/>
      <c r="J29"/>
      <c r="K29"/>
      <c r="L29"/>
      <c r="M29"/>
    </row>
    <row r="30" spans="2:13" s="8" customFormat="1" ht="15" customHeight="1" x14ac:dyDescent="0.3">
      <c r="B30" s="285" t="s">
        <v>132</v>
      </c>
      <c r="C30" s="286"/>
      <c r="D30" s="286"/>
      <c r="E30" s="286"/>
      <c r="F30" s="286"/>
      <c r="G30" s="286"/>
      <c r="H30" s="286"/>
      <c r="I30" s="286"/>
      <c r="J30" s="286"/>
      <c r="K30" s="287"/>
      <c r="L30"/>
      <c r="M30"/>
    </row>
    <row r="31" spans="2:13" s="8" customFormat="1" ht="15" customHeight="1" x14ac:dyDescent="0.3">
      <c r="B31" s="288"/>
      <c r="C31" s="289"/>
      <c r="D31" s="289"/>
      <c r="E31" s="289"/>
      <c r="F31" s="289"/>
      <c r="G31" s="289"/>
      <c r="H31" s="289"/>
      <c r="I31" s="289"/>
      <c r="J31" s="289"/>
      <c r="K31" s="290"/>
      <c r="L31"/>
      <c r="M31"/>
    </row>
    <row r="32" spans="2:13" ht="55.2" customHeight="1" x14ac:dyDescent="0.3">
      <c r="B32" s="10"/>
      <c r="C32" s="10"/>
    </row>
    <row r="33" spans="2:2" x14ac:dyDescent="0.3">
      <c r="B33" s="2" t="s">
        <v>1</v>
      </c>
    </row>
    <row r="34" spans="2:2" x14ac:dyDescent="0.3">
      <c r="B34" s="2" t="s">
        <v>2</v>
      </c>
    </row>
    <row r="35" spans="2:2" x14ac:dyDescent="0.3">
      <c r="B35" s="2" t="s">
        <v>3</v>
      </c>
    </row>
  </sheetData>
  <mergeCells count="17">
    <mergeCell ref="A5:L5"/>
    <mergeCell ref="A6:L6"/>
    <mergeCell ref="B17:H17"/>
    <mergeCell ref="A7:L7"/>
    <mergeCell ref="B11:H12"/>
    <mergeCell ref="K11:K12"/>
    <mergeCell ref="B14:H14"/>
    <mergeCell ref="B16:H16"/>
    <mergeCell ref="B26:H26"/>
    <mergeCell ref="B28:H28"/>
    <mergeCell ref="B30:K31"/>
    <mergeCell ref="B18:H18"/>
    <mergeCell ref="B19:H19"/>
    <mergeCell ref="B20:H20"/>
    <mergeCell ref="B21:H21"/>
    <mergeCell ref="B22:H22"/>
    <mergeCell ref="B24:H24"/>
  </mergeCells>
  <pageMargins left="0.59055118110236204" right="0.196850393700787" top="0.39370078740157499" bottom="0.196850393700787" header="0.196850393700787" footer="0.196850393700787"/>
  <pageSetup paperSize="9" scale="76" firstPageNumber="23" orientation="landscape" useFirstPageNumber="1" r:id="rId1"/>
  <headerFooter>
    <oddFooter>&amp;C&amp;"-,Bold"&amp;10&amp;P&amp;R&amp;9&amp;K09-022Financial audit - interim review 2023</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DE176-02CF-41C2-979B-7601B66F1708}">
  <dimension ref="A1:I24"/>
  <sheetViews>
    <sheetView workbookViewId="0">
      <selection activeCell="L6" sqref="L6"/>
    </sheetView>
  </sheetViews>
  <sheetFormatPr defaultRowHeight="14.4" x14ac:dyDescent="0.3"/>
  <cols>
    <col min="2" max="2" width="36.5546875" bestFit="1" customWidth="1"/>
    <col min="3" max="3" width="29.6640625" bestFit="1" customWidth="1"/>
    <col min="4" max="4" width="22.77734375" bestFit="1" customWidth="1"/>
    <col min="6" max="6" width="8.77734375" customWidth="1"/>
    <col min="9" max="9" width="11.44140625" bestFit="1" customWidth="1"/>
  </cols>
  <sheetData>
    <row r="1" spans="1:9" ht="18" x14ac:dyDescent="0.35">
      <c r="A1" s="206" t="s">
        <v>601</v>
      </c>
    </row>
    <row r="2" spans="1:9" x14ac:dyDescent="0.3">
      <c r="A2" s="207" t="s">
        <v>602</v>
      </c>
    </row>
    <row r="3" spans="1:9" x14ac:dyDescent="0.3">
      <c r="A3" s="207" t="s">
        <v>603</v>
      </c>
    </row>
    <row r="5" spans="1:9" ht="28.8" x14ac:dyDescent="0.3">
      <c r="A5" s="208" t="s">
        <v>604</v>
      </c>
      <c r="B5" s="208" t="s">
        <v>605</v>
      </c>
      <c r="C5" s="208" t="s">
        <v>606</v>
      </c>
      <c r="D5" s="208" t="s">
        <v>607</v>
      </c>
      <c r="E5" s="341" t="s">
        <v>608</v>
      </c>
      <c r="F5" s="338"/>
      <c r="G5" s="338"/>
      <c r="H5" s="339"/>
      <c r="I5" s="208" t="s">
        <v>609</v>
      </c>
    </row>
    <row r="6" spans="1:9" x14ac:dyDescent="0.3">
      <c r="A6" s="209"/>
      <c r="B6" s="210"/>
      <c r="C6" s="209"/>
      <c r="D6" s="210"/>
      <c r="E6" s="340"/>
      <c r="F6" s="338"/>
      <c r="G6" s="338"/>
      <c r="H6" s="339"/>
      <c r="I6" s="211"/>
    </row>
    <row r="7" spans="1:9" x14ac:dyDescent="0.3">
      <c r="A7" s="212"/>
      <c r="B7" s="213"/>
      <c r="C7" s="212"/>
      <c r="D7" s="213"/>
      <c r="E7" s="337"/>
      <c r="F7" s="338"/>
      <c r="G7" s="338"/>
      <c r="H7" s="339"/>
      <c r="I7" s="214"/>
    </row>
    <row r="8" spans="1:9" x14ac:dyDescent="0.3">
      <c r="A8" s="209"/>
      <c r="B8" s="210"/>
      <c r="C8" s="209"/>
      <c r="D8" s="210"/>
      <c r="E8" s="340"/>
      <c r="F8" s="338"/>
      <c r="G8" s="338"/>
      <c r="H8" s="339"/>
      <c r="I8" s="211"/>
    </row>
    <row r="9" spans="1:9" x14ac:dyDescent="0.3">
      <c r="A9" s="212"/>
      <c r="B9" s="213"/>
      <c r="C9" s="212"/>
      <c r="D9" s="213"/>
      <c r="E9" s="337"/>
      <c r="F9" s="338"/>
      <c r="G9" s="338"/>
      <c r="H9" s="339"/>
      <c r="I9" s="214"/>
    </row>
    <row r="10" spans="1:9" x14ac:dyDescent="0.3">
      <c r="A10" s="209"/>
      <c r="B10" s="210"/>
      <c r="C10" s="209"/>
      <c r="D10" s="210"/>
      <c r="E10" s="340"/>
      <c r="F10" s="338"/>
      <c r="G10" s="338"/>
      <c r="H10" s="339"/>
      <c r="I10" s="211"/>
    </row>
    <row r="11" spans="1:9" x14ac:dyDescent="0.3">
      <c r="A11" s="212"/>
      <c r="B11" s="213"/>
      <c r="C11" s="212"/>
      <c r="D11" s="213"/>
      <c r="E11" s="337"/>
      <c r="F11" s="338"/>
      <c r="G11" s="338"/>
      <c r="H11" s="339"/>
      <c r="I11" s="214"/>
    </row>
    <row r="12" spans="1:9" x14ac:dyDescent="0.3">
      <c r="A12" s="209"/>
      <c r="B12" s="210"/>
      <c r="C12" s="209"/>
      <c r="D12" s="210"/>
      <c r="E12" s="340"/>
      <c r="F12" s="338"/>
      <c r="G12" s="338"/>
      <c r="H12" s="339"/>
      <c r="I12" s="211"/>
    </row>
    <row r="13" spans="1:9" x14ac:dyDescent="0.3">
      <c r="A13" s="212"/>
      <c r="B13" s="213"/>
      <c r="C13" s="212"/>
      <c r="D13" s="213"/>
      <c r="E13" s="337"/>
      <c r="F13" s="338"/>
      <c r="G13" s="338"/>
      <c r="H13" s="339"/>
      <c r="I13" s="214"/>
    </row>
    <row r="14" spans="1:9" x14ac:dyDescent="0.3">
      <c r="A14" s="209"/>
      <c r="B14" s="210"/>
      <c r="C14" s="209"/>
      <c r="D14" s="210"/>
      <c r="E14" s="340"/>
      <c r="F14" s="338"/>
      <c r="G14" s="338"/>
      <c r="H14" s="339"/>
      <c r="I14" s="211"/>
    </row>
    <row r="15" spans="1:9" x14ac:dyDescent="0.3">
      <c r="A15" s="212"/>
      <c r="B15" s="213"/>
      <c r="C15" s="212"/>
      <c r="D15" s="213"/>
      <c r="E15" s="337"/>
      <c r="F15" s="338"/>
      <c r="G15" s="338"/>
      <c r="H15" s="339"/>
      <c r="I15" s="214"/>
    </row>
    <row r="16" spans="1:9" x14ac:dyDescent="0.3">
      <c r="A16" s="209"/>
      <c r="B16" s="210"/>
      <c r="C16" s="209"/>
      <c r="D16" s="210"/>
      <c r="E16" s="340"/>
      <c r="F16" s="338"/>
      <c r="G16" s="338"/>
      <c r="H16" s="339"/>
      <c r="I16" s="211"/>
    </row>
    <row r="17" spans="1:9" x14ac:dyDescent="0.3">
      <c r="A17" s="212"/>
      <c r="B17" s="213"/>
      <c r="C17" s="212"/>
      <c r="D17" s="213"/>
      <c r="E17" s="337"/>
      <c r="F17" s="338"/>
      <c r="G17" s="338"/>
      <c r="H17" s="339"/>
      <c r="I17" s="214"/>
    </row>
    <row r="18" spans="1:9" x14ac:dyDescent="0.3">
      <c r="A18" s="209"/>
      <c r="B18" s="210"/>
      <c r="C18" s="209"/>
      <c r="D18" s="210"/>
      <c r="E18" s="340"/>
      <c r="F18" s="338"/>
      <c r="G18" s="338"/>
      <c r="H18" s="339"/>
      <c r="I18" s="211"/>
    </row>
    <row r="19" spans="1:9" x14ac:dyDescent="0.3">
      <c r="A19" s="212"/>
      <c r="B19" s="213"/>
      <c r="C19" s="212"/>
      <c r="D19" s="213"/>
      <c r="E19" s="337"/>
      <c r="F19" s="338"/>
      <c r="G19" s="338"/>
      <c r="H19" s="339"/>
      <c r="I19" s="214"/>
    </row>
    <row r="20" spans="1:9" x14ac:dyDescent="0.3">
      <c r="A20" s="209"/>
      <c r="B20" s="210"/>
      <c r="C20" s="209"/>
      <c r="D20" s="210"/>
      <c r="E20" s="340"/>
      <c r="F20" s="338"/>
      <c r="G20" s="338"/>
      <c r="H20" s="339"/>
      <c r="I20" s="211"/>
    </row>
    <row r="21" spans="1:9" x14ac:dyDescent="0.3">
      <c r="A21" s="212"/>
      <c r="B21" s="213"/>
      <c r="C21" s="212"/>
      <c r="D21" s="213"/>
      <c r="E21" s="337"/>
      <c r="F21" s="338"/>
      <c r="G21" s="338"/>
      <c r="H21" s="339"/>
      <c r="I21" s="214"/>
    </row>
    <row r="22" spans="1:9" x14ac:dyDescent="0.3">
      <c r="A22" s="209"/>
      <c r="B22" s="210"/>
      <c r="C22" s="209"/>
      <c r="D22" s="210"/>
      <c r="E22" s="340"/>
      <c r="F22" s="338"/>
      <c r="G22" s="338"/>
      <c r="H22" s="339"/>
      <c r="I22" s="211"/>
    </row>
    <row r="23" spans="1:9" x14ac:dyDescent="0.3">
      <c r="A23" s="212"/>
      <c r="B23" s="213"/>
      <c r="C23" s="212"/>
      <c r="D23" s="213"/>
      <c r="E23" s="337"/>
      <c r="F23" s="338"/>
      <c r="G23" s="338"/>
      <c r="H23" s="339"/>
      <c r="I23" s="214"/>
    </row>
    <row r="24" spans="1:9" x14ac:dyDescent="0.3">
      <c r="A24" s="209"/>
      <c r="B24" s="210"/>
      <c r="C24" s="209"/>
      <c r="D24" s="210"/>
      <c r="E24" s="340"/>
      <c r="F24" s="338"/>
      <c r="G24" s="338"/>
      <c r="H24" s="339"/>
      <c r="I24" s="211"/>
    </row>
  </sheetData>
  <mergeCells count="20">
    <mergeCell ref="E16:H16"/>
    <mergeCell ref="E5:H5"/>
    <mergeCell ref="E6:H6"/>
    <mergeCell ref="E7:H7"/>
    <mergeCell ref="E8:H8"/>
    <mergeCell ref="E9:H9"/>
    <mergeCell ref="E10:H10"/>
    <mergeCell ref="E11:H11"/>
    <mergeCell ref="E12:H12"/>
    <mergeCell ref="E13:H13"/>
    <mergeCell ref="E14:H14"/>
    <mergeCell ref="E15:H15"/>
    <mergeCell ref="E23:H23"/>
    <mergeCell ref="E24:H24"/>
    <mergeCell ref="E17:H17"/>
    <mergeCell ref="E18:H18"/>
    <mergeCell ref="E19:H19"/>
    <mergeCell ref="E20:H20"/>
    <mergeCell ref="E21:H21"/>
    <mergeCell ref="E22:H2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60999-6EF0-4E9E-BDA1-58E2E901A7C1}">
  <dimension ref="A1:D35"/>
  <sheetViews>
    <sheetView workbookViewId="0">
      <selection activeCell="B2" sqref="B2:D19"/>
    </sheetView>
  </sheetViews>
  <sheetFormatPr defaultRowHeight="14.4" x14ac:dyDescent="0.3"/>
  <sheetData>
    <row r="1" spans="1:4" ht="57.6" x14ac:dyDescent="0.3">
      <c r="A1" s="342" t="s">
        <v>610</v>
      </c>
      <c r="B1" s="342" t="s">
        <v>611</v>
      </c>
      <c r="C1" s="342" t="s">
        <v>612</v>
      </c>
      <c r="D1" s="342" t="s">
        <v>613</v>
      </c>
    </row>
    <row r="2" spans="1:4" x14ac:dyDescent="0.3">
      <c r="A2" s="343" t="s">
        <v>614</v>
      </c>
      <c r="B2" s="344"/>
      <c r="C2" s="345"/>
      <c r="D2" s="344"/>
    </row>
    <row r="3" spans="1:4" x14ac:dyDescent="0.3">
      <c r="A3" s="343" t="s">
        <v>616</v>
      </c>
      <c r="B3" s="344"/>
      <c r="C3" s="345"/>
      <c r="D3" s="344"/>
    </row>
    <row r="4" spans="1:4" x14ac:dyDescent="0.3">
      <c r="A4" s="343" t="s">
        <v>617</v>
      </c>
      <c r="B4" s="346"/>
      <c r="C4" s="345"/>
      <c r="D4" s="344"/>
    </row>
    <row r="5" spans="1:4" x14ac:dyDescent="0.3">
      <c r="A5" s="343" t="s">
        <v>618</v>
      </c>
      <c r="B5" s="347"/>
      <c r="C5" s="345"/>
      <c r="D5" s="344"/>
    </row>
    <row r="6" spans="1:4" x14ac:dyDescent="0.3">
      <c r="A6" s="343" t="s">
        <v>619</v>
      </c>
      <c r="B6" s="344"/>
      <c r="C6" s="345"/>
      <c r="D6" s="344"/>
    </row>
    <row r="7" spans="1:4" x14ac:dyDescent="0.3">
      <c r="A7" s="343" t="s">
        <v>620</v>
      </c>
      <c r="B7" s="347"/>
      <c r="C7" s="345"/>
      <c r="D7" s="344"/>
    </row>
    <row r="8" spans="1:4" x14ac:dyDescent="0.3">
      <c r="A8" s="343" t="s">
        <v>621</v>
      </c>
      <c r="B8" s="348"/>
      <c r="C8" s="345"/>
      <c r="D8" s="344"/>
    </row>
    <row r="9" spans="1:4" x14ac:dyDescent="0.3">
      <c r="A9" s="343" t="s">
        <v>622</v>
      </c>
      <c r="B9" s="344"/>
      <c r="C9" s="345"/>
      <c r="D9" s="344"/>
    </row>
    <row r="10" spans="1:4" x14ac:dyDescent="0.3">
      <c r="A10" s="343" t="s">
        <v>623</v>
      </c>
      <c r="B10" s="344"/>
      <c r="C10" s="345"/>
      <c r="D10" s="344"/>
    </row>
    <row r="11" spans="1:4" x14ac:dyDescent="0.3">
      <c r="A11" s="343" t="s">
        <v>624</v>
      </c>
      <c r="B11" s="347"/>
      <c r="C11" s="345"/>
      <c r="D11" s="344"/>
    </row>
    <row r="12" spans="1:4" x14ac:dyDescent="0.3">
      <c r="A12" s="343" t="s">
        <v>625</v>
      </c>
      <c r="B12" s="347"/>
      <c r="C12" s="345"/>
      <c r="D12" s="344"/>
    </row>
    <row r="13" spans="1:4" x14ac:dyDescent="0.3">
      <c r="A13" s="343" t="s">
        <v>626</v>
      </c>
      <c r="B13" s="347"/>
      <c r="C13" s="345"/>
      <c r="D13" s="344"/>
    </row>
    <row r="14" spans="1:4" x14ac:dyDescent="0.3">
      <c r="A14" s="343" t="s">
        <v>627</v>
      </c>
      <c r="B14" s="344"/>
      <c r="C14" s="345"/>
      <c r="D14" s="344"/>
    </row>
    <row r="15" spans="1:4" x14ac:dyDescent="0.3">
      <c r="A15" s="343" t="s">
        <v>628</v>
      </c>
      <c r="B15" s="344"/>
      <c r="C15" s="345"/>
      <c r="D15" s="344"/>
    </row>
    <row r="16" spans="1:4" x14ac:dyDescent="0.3">
      <c r="A16" s="343" t="s">
        <v>629</v>
      </c>
      <c r="B16" s="347"/>
      <c r="C16" s="345"/>
      <c r="D16" s="344"/>
    </row>
    <row r="17" spans="1:4" x14ac:dyDescent="0.3">
      <c r="A17" s="343" t="s">
        <v>630</v>
      </c>
      <c r="B17" s="344"/>
      <c r="C17" s="345"/>
      <c r="D17" s="344"/>
    </row>
    <row r="18" spans="1:4" x14ac:dyDescent="0.3">
      <c r="A18" s="343" t="s">
        <v>631</v>
      </c>
      <c r="B18" s="344"/>
      <c r="C18" s="345"/>
      <c r="D18" s="344"/>
    </row>
    <row r="19" spans="1:4" x14ac:dyDescent="0.3">
      <c r="A19" s="343" t="s">
        <v>632</v>
      </c>
      <c r="B19" s="344"/>
      <c r="C19" s="345"/>
      <c r="D19" s="344"/>
    </row>
    <row r="21" spans="1:4" x14ac:dyDescent="0.3">
      <c r="A21" s="349" t="s">
        <v>633</v>
      </c>
    </row>
    <row r="22" spans="1:4" x14ac:dyDescent="0.3">
      <c r="A22" s="350" t="s">
        <v>634</v>
      </c>
      <c r="B22">
        <v>19</v>
      </c>
    </row>
    <row r="23" spans="1:4" x14ac:dyDescent="0.3">
      <c r="A23" s="351" t="s">
        <v>635</v>
      </c>
      <c r="B23">
        <v>9</v>
      </c>
    </row>
    <row r="24" spans="1:4" x14ac:dyDescent="0.3">
      <c r="A24" s="352" t="s">
        <v>615</v>
      </c>
      <c r="B24">
        <v>18</v>
      </c>
    </row>
    <row r="25" spans="1:4" x14ac:dyDescent="0.3">
      <c r="A25" s="353" t="s">
        <v>636</v>
      </c>
      <c r="B25">
        <v>2</v>
      </c>
    </row>
    <row r="26" spans="1:4" x14ac:dyDescent="0.3">
      <c r="A26" t="s">
        <v>637</v>
      </c>
      <c r="B26">
        <v>48</v>
      </c>
    </row>
    <row r="28" spans="1:4" x14ac:dyDescent="0.3">
      <c r="A28" s="354" t="s">
        <v>638</v>
      </c>
      <c r="B28" s="355"/>
      <c r="C28" s="355"/>
      <c r="D28" s="355"/>
    </row>
    <row r="31" spans="1:4" x14ac:dyDescent="0.3">
      <c r="A31" s="349" t="s">
        <v>639</v>
      </c>
      <c r="C31" s="349" t="s">
        <v>640</v>
      </c>
    </row>
    <row r="32" spans="1:4" x14ac:dyDescent="0.3">
      <c r="A32" t="s">
        <v>641</v>
      </c>
      <c r="C32" t="s">
        <v>641</v>
      </c>
    </row>
    <row r="33" spans="1:3" x14ac:dyDescent="0.3">
      <c r="A33" t="s">
        <v>642</v>
      </c>
      <c r="C33" t="s">
        <v>642</v>
      </c>
    </row>
    <row r="35" spans="1:3" x14ac:dyDescent="0.3">
      <c r="A35" s="356" t="s">
        <v>643</v>
      </c>
    </row>
  </sheetData>
  <mergeCells count="1">
    <mergeCell ref="A28:D2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E12BF-1FD8-4649-BE9B-9AE65FD755E9}">
  <dimension ref="A1:H68"/>
  <sheetViews>
    <sheetView tabSelected="1" zoomScaleNormal="100" zoomScaleSheetLayoutView="124" workbookViewId="0">
      <selection activeCell="L13" sqref="L13"/>
    </sheetView>
  </sheetViews>
  <sheetFormatPr defaultRowHeight="14.4" x14ac:dyDescent="0.3"/>
  <sheetData>
    <row r="1" spans="1:8" ht="18" x14ac:dyDescent="0.35">
      <c r="A1" s="357" t="s">
        <v>644</v>
      </c>
    </row>
    <row r="2" spans="1:8" x14ac:dyDescent="0.3">
      <c r="A2" s="356" t="s">
        <v>645</v>
      </c>
    </row>
    <row r="3" spans="1:8" x14ac:dyDescent="0.3">
      <c r="A3" s="358" t="s">
        <v>646</v>
      </c>
      <c r="B3" s="355"/>
      <c r="C3" s="355"/>
      <c r="D3" s="355"/>
      <c r="E3" s="355"/>
      <c r="F3" s="355"/>
      <c r="G3" s="355"/>
      <c r="H3" s="355"/>
    </row>
    <row r="5" spans="1:8" x14ac:dyDescent="0.3">
      <c r="A5" s="349" t="s">
        <v>647</v>
      </c>
      <c r="B5" s="359" t="s">
        <v>648</v>
      </c>
      <c r="C5" s="355"/>
      <c r="D5" s="355"/>
      <c r="E5" s="355"/>
    </row>
    <row r="6" spans="1:8" x14ac:dyDescent="0.3">
      <c r="A6" s="360" t="s">
        <v>353</v>
      </c>
      <c r="B6" s="360" t="s">
        <v>353</v>
      </c>
      <c r="C6" s="360" t="s">
        <v>353</v>
      </c>
      <c r="D6" s="360" t="s">
        <v>353</v>
      </c>
      <c r="E6" s="360" t="s">
        <v>353</v>
      </c>
      <c r="F6" s="360" t="s">
        <v>353</v>
      </c>
      <c r="G6" s="360" t="s">
        <v>353</v>
      </c>
      <c r="H6" s="360" t="s">
        <v>353</v>
      </c>
    </row>
    <row r="8" spans="1:8" ht="57.6" x14ac:dyDescent="0.3">
      <c r="A8" s="342" t="s">
        <v>610</v>
      </c>
      <c r="B8" s="342" t="s">
        <v>611</v>
      </c>
      <c r="C8" s="342" t="s">
        <v>612</v>
      </c>
      <c r="D8" s="342" t="s">
        <v>649</v>
      </c>
      <c r="E8" s="342" t="s">
        <v>650</v>
      </c>
      <c r="F8" s="342" t="s">
        <v>137</v>
      </c>
    </row>
    <row r="9" spans="1:8" x14ac:dyDescent="0.3">
      <c r="A9" s="361" t="s">
        <v>651</v>
      </c>
      <c r="B9" s="362" t="s">
        <v>652</v>
      </c>
      <c r="C9" s="355"/>
      <c r="D9" s="355"/>
      <c r="E9" s="355"/>
      <c r="F9" s="355"/>
    </row>
    <row r="10" spans="1:8" x14ac:dyDescent="0.3">
      <c r="A10" s="363" t="s">
        <v>653</v>
      </c>
      <c r="B10" s="364"/>
      <c r="C10" s="365"/>
      <c r="D10" s="363"/>
      <c r="E10" s="366"/>
      <c r="F10" s="366"/>
    </row>
    <row r="11" spans="1:8" x14ac:dyDescent="0.3">
      <c r="A11" s="363" t="s">
        <v>614</v>
      </c>
      <c r="B11" s="364"/>
      <c r="C11" s="367"/>
      <c r="D11" s="363"/>
      <c r="E11" s="366"/>
      <c r="F11" s="366"/>
    </row>
    <row r="12" spans="1:8" x14ac:dyDescent="0.3">
      <c r="A12" s="363" t="s">
        <v>654</v>
      </c>
      <c r="B12" s="364"/>
      <c r="C12" s="365"/>
      <c r="D12" s="363"/>
      <c r="E12" s="366"/>
      <c r="F12" s="366"/>
    </row>
    <row r="13" spans="1:8" x14ac:dyDescent="0.3">
      <c r="A13" s="363" t="s">
        <v>655</v>
      </c>
      <c r="B13" s="364"/>
      <c r="C13" s="368"/>
      <c r="D13" s="363"/>
      <c r="E13" s="366"/>
      <c r="F13" s="366"/>
    </row>
    <row r="14" spans="1:8" x14ac:dyDescent="0.3">
      <c r="A14" s="363" t="s">
        <v>616</v>
      </c>
      <c r="B14" s="364"/>
      <c r="C14" s="367"/>
      <c r="D14" s="363"/>
      <c r="E14" s="366"/>
      <c r="F14" s="366"/>
    </row>
    <row r="15" spans="1:8" x14ac:dyDescent="0.3">
      <c r="A15" s="363" t="s">
        <v>656</v>
      </c>
      <c r="B15" s="364"/>
      <c r="C15" s="365"/>
      <c r="D15" s="363"/>
      <c r="E15" s="366"/>
      <c r="F15" s="366"/>
    </row>
    <row r="16" spans="1:8" x14ac:dyDescent="0.3">
      <c r="A16" s="363" t="s">
        <v>657</v>
      </c>
      <c r="B16" s="364"/>
      <c r="C16" s="368"/>
      <c r="D16" s="363"/>
      <c r="E16" s="366"/>
      <c r="F16" s="366"/>
    </row>
    <row r="17" spans="1:6" x14ac:dyDescent="0.3">
      <c r="A17" s="361" t="s">
        <v>658</v>
      </c>
      <c r="B17" s="362"/>
      <c r="C17" s="355"/>
      <c r="D17" s="355"/>
      <c r="E17" s="355"/>
      <c r="F17" s="355"/>
    </row>
    <row r="18" spans="1:6" x14ac:dyDescent="0.3">
      <c r="A18" s="363" t="s">
        <v>659</v>
      </c>
      <c r="B18" s="364"/>
      <c r="C18" s="368"/>
      <c r="D18" s="363"/>
      <c r="E18" s="366"/>
      <c r="F18" s="366"/>
    </row>
    <row r="19" spans="1:6" x14ac:dyDescent="0.3">
      <c r="A19" s="363" t="s">
        <v>660</v>
      </c>
      <c r="B19" s="364"/>
      <c r="C19" s="365"/>
      <c r="D19" s="363"/>
      <c r="E19" s="366"/>
      <c r="F19" s="366"/>
    </row>
    <row r="20" spans="1:6" x14ac:dyDescent="0.3">
      <c r="A20" s="363" t="s">
        <v>617</v>
      </c>
      <c r="B20" s="364"/>
      <c r="C20" s="367"/>
      <c r="D20" s="363"/>
      <c r="E20" s="366"/>
      <c r="F20" s="366"/>
    </row>
    <row r="21" spans="1:6" x14ac:dyDescent="0.3">
      <c r="A21" s="363" t="s">
        <v>661</v>
      </c>
      <c r="B21" s="364"/>
      <c r="C21" s="365"/>
      <c r="D21" s="363"/>
      <c r="E21" s="366"/>
      <c r="F21" s="366"/>
    </row>
    <row r="22" spans="1:6" x14ac:dyDescent="0.3">
      <c r="A22" s="363" t="s">
        <v>662</v>
      </c>
      <c r="B22" s="364"/>
      <c r="C22" s="368"/>
      <c r="D22" s="363"/>
      <c r="E22" s="366"/>
      <c r="F22" s="366"/>
    </row>
    <row r="23" spans="1:6" x14ac:dyDescent="0.3">
      <c r="A23" s="363" t="s">
        <v>618</v>
      </c>
      <c r="B23" s="364"/>
      <c r="C23" s="367"/>
      <c r="D23" s="363"/>
      <c r="E23" s="366"/>
      <c r="F23" s="366"/>
    </row>
    <row r="24" spans="1:6" x14ac:dyDescent="0.3">
      <c r="A24" s="361" t="s">
        <v>663</v>
      </c>
      <c r="B24" s="362"/>
      <c r="C24" s="355"/>
      <c r="D24" s="355"/>
      <c r="E24" s="355"/>
      <c r="F24" s="355"/>
    </row>
    <row r="25" spans="1:6" x14ac:dyDescent="0.3">
      <c r="A25" s="363" t="s">
        <v>664</v>
      </c>
      <c r="B25" s="364"/>
      <c r="C25" s="368"/>
      <c r="D25" s="363"/>
      <c r="E25" s="366"/>
      <c r="F25" s="366"/>
    </row>
    <row r="26" spans="1:6" x14ac:dyDescent="0.3">
      <c r="A26" s="363" t="s">
        <v>665</v>
      </c>
      <c r="B26" s="364"/>
      <c r="C26" s="365"/>
      <c r="D26" s="363"/>
      <c r="E26" s="366"/>
      <c r="F26" s="366"/>
    </row>
    <row r="27" spans="1:6" x14ac:dyDescent="0.3">
      <c r="A27" s="363" t="s">
        <v>666</v>
      </c>
      <c r="B27" s="364"/>
      <c r="C27" s="365"/>
      <c r="D27" s="363"/>
      <c r="E27" s="366"/>
      <c r="F27" s="366"/>
    </row>
    <row r="28" spans="1:6" ht="14.4" customHeight="1" x14ac:dyDescent="0.3">
      <c r="A28" s="363" t="s">
        <v>619</v>
      </c>
      <c r="B28" s="364"/>
      <c r="C28" s="367"/>
      <c r="D28" s="363"/>
      <c r="E28" s="366"/>
      <c r="F28" s="366"/>
    </row>
    <row r="29" spans="1:6" x14ac:dyDescent="0.3">
      <c r="A29" s="363" t="s">
        <v>620</v>
      </c>
      <c r="B29" s="364"/>
      <c r="C29" s="367"/>
      <c r="D29" s="363"/>
      <c r="E29" s="366"/>
      <c r="F29" s="366"/>
    </row>
    <row r="30" spans="1:6" x14ac:dyDescent="0.3">
      <c r="A30" s="361" t="s">
        <v>667</v>
      </c>
      <c r="B30" s="362"/>
      <c r="C30" s="355"/>
      <c r="D30" s="355"/>
      <c r="E30" s="355"/>
      <c r="F30" s="355"/>
    </row>
    <row r="31" spans="1:6" x14ac:dyDescent="0.3">
      <c r="A31" s="363" t="s">
        <v>668</v>
      </c>
      <c r="B31" s="364"/>
      <c r="C31" s="368"/>
      <c r="D31" s="363"/>
      <c r="E31" s="366"/>
      <c r="F31" s="366"/>
    </row>
    <row r="32" spans="1:6" x14ac:dyDescent="0.3">
      <c r="A32" s="363" t="s">
        <v>669</v>
      </c>
      <c r="B32" s="364"/>
      <c r="C32" s="365"/>
      <c r="D32" s="363"/>
      <c r="E32" s="366"/>
      <c r="F32" s="366"/>
    </row>
    <row r="33" spans="1:6" x14ac:dyDescent="0.3">
      <c r="A33" s="363" t="s">
        <v>621</v>
      </c>
      <c r="B33" s="364"/>
      <c r="C33" s="367"/>
      <c r="D33" s="363"/>
      <c r="E33" s="366"/>
      <c r="F33" s="366"/>
    </row>
    <row r="34" spans="1:6" x14ac:dyDescent="0.3">
      <c r="A34" s="363" t="s">
        <v>670</v>
      </c>
      <c r="B34" s="364"/>
      <c r="C34" s="365"/>
      <c r="D34" s="363"/>
      <c r="E34" s="366"/>
      <c r="F34" s="366"/>
    </row>
    <row r="35" spans="1:6" x14ac:dyDescent="0.3">
      <c r="A35" s="363" t="s">
        <v>671</v>
      </c>
      <c r="B35" s="364"/>
      <c r="C35" s="369"/>
      <c r="D35" s="363"/>
      <c r="E35" s="366"/>
      <c r="F35" s="366"/>
    </row>
    <row r="36" spans="1:6" x14ac:dyDescent="0.3">
      <c r="A36" s="361" t="s">
        <v>672</v>
      </c>
      <c r="B36" s="362"/>
      <c r="C36" s="355"/>
      <c r="D36" s="355"/>
      <c r="E36" s="355"/>
      <c r="F36" s="355"/>
    </row>
    <row r="37" spans="1:6" x14ac:dyDescent="0.3">
      <c r="A37" s="363" t="s">
        <v>673</v>
      </c>
      <c r="B37" s="364"/>
      <c r="C37" s="365"/>
      <c r="D37" s="363"/>
      <c r="E37" s="366"/>
      <c r="F37" s="366"/>
    </row>
    <row r="38" spans="1:6" x14ac:dyDescent="0.3">
      <c r="A38" s="363" t="s">
        <v>622</v>
      </c>
      <c r="B38" s="364"/>
      <c r="C38" s="367"/>
      <c r="D38" s="363"/>
      <c r="E38" s="366"/>
      <c r="F38" s="366"/>
    </row>
    <row r="39" spans="1:6" x14ac:dyDescent="0.3">
      <c r="A39" s="363" t="s">
        <v>623</v>
      </c>
      <c r="B39" s="364"/>
      <c r="C39" s="367"/>
      <c r="D39" s="363"/>
      <c r="E39" s="366"/>
      <c r="F39" s="366"/>
    </row>
    <row r="40" spans="1:6" x14ac:dyDescent="0.3">
      <c r="A40" s="363" t="s">
        <v>674</v>
      </c>
      <c r="B40" s="364"/>
      <c r="C40" s="368"/>
      <c r="D40" s="363"/>
      <c r="E40" s="366"/>
      <c r="F40" s="366"/>
    </row>
    <row r="41" spans="1:6" x14ac:dyDescent="0.3">
      <c r="A41" s="363" t="s">
        <v>675</v>
      </c>
      <c r="B41" s="364"/>
      <c r="C41" s="365"/>
      <c r="D41" s="363"/>
      <c r="E41" s="366"/>
      <c r="F41" s="366"/>
    </row>
    <row r="42" spans="1:6" x14ac:dyDescent="0.3">
      <c r="A42" s="363" t="s">
        <v>624</v>
      </c>
      <c r="B42" s="364"/>
      <c r="C42" s="367"/>
      <c r="D42" s="363"/>
      <c r="E42" s="366"/>
      <c r="F42" s="366"/>
    </row>
    <row r="43" spans="1:6" x14ac:dyDescent="0.3">
      <c r="A43" s="363" t="s">
        <v>676</v>
      </c>
      <c r="B43" s="364"/>
      <c r="C43" s="365"/>
      <c r="D43" s="363"/>
      <c r="E43" s="366"/>
      <c r="F43" s="366"/>
    </row>
    <row r="44" spans="1:6" x14ac:dyDescent="0.3">
      <c r="A44" s="363" t="s">
        <v>677</v>
      </c>
      <c r="B44" s="364"/>
      <c r="C44" s="368"/>
      <c r="D44" s="363"/>
      <c r="E44" s="366"/>
      <c r="F44" s="366"/>
    </row>
    <row r="45" spans="1:6" x14ac:dyDescent="0.3">
      <c r="A45" s="361" t="s">
        <v>678</v>
      </c>
      <c r="B45" s="362"/>
      <c r="C45" s="355"/>
      <c r="D45" s="355"/>
      <c r="E45" s="355"/>
      <c r="F45" s="355"/>
    </row>
    <row r="46" spans="1:6" x14ac:dyDescent="0.3">
      <c r="A46" s="363" t="s">
        <v>625</v>
      </c>
      <c r="B46" s="364"/>
      <c r="C46" s="367"/>
      <c r="D46" s="363"/>
      <c r="E46" s="366"/>
      <c r="F46" s="366"/>
    </row>
    <row r="47" spans="1:6" x14ac:dyDescent="0.3">
      <c r="A47" s="363" t="s">
        <v>626</v>
      </c>
      <c r="B47" s="364"/>
      <c r="C47" s="367"/>
      <c r="D47" s="363"/>
      <c r="E47" s="366"/>
      <c r="F47" s="366"/>
    </row>
    <row r="48" spans="1:6" x14ac:dyDescent="0.3">
      <c r="A48" s="363" t="s">
        <v>627</v>
      </c>
      <c r="B48" s="364"/>
      <c r="C48" s="367"/>
      <c r="D48" s="363"/>
      <c r="E48" s="366"/>
      <c r="F48" s="366"/>
    </row>
    <row r="49" spans="1:6" x14ac:dyDescent="0.3">
      <c r="A49" s="361"/>
      <c r="B49" s="362"/>
      <c r="C49" s="355"/>
      <c r="D49" s="355"/>
      <c r="E49" s="355"/>
      <c r="F49" s="355"/>
    </row>
    <row r="50" spans="1:6" x14ac:dyDescent="0.3">
      <c r="A50" s="363" t="s">
        <v>679</v>
      </c>
      <c r="B50" s="364"/>
      <c r="C50" s="369"/>
      <c r="D50" s="363"/>
      <c r="E50" s="366"/>
      <c r="F50" s="366"/>
    </row>
    <row r="51" spans="1:6" x14ac:dyDescent="0.3">
      <c r="A51" s="361" t="s">
        <v>680</v>
      </c>
      <c r="B51" s="362"/>
      <c r="C51" s="355"/>
      <c r="D51" s="355"/>
      <c r="E51" s="355"/>
      <c r="F51" s="355"/>
    </row>
    <row r="52" spans="1:6" x14ac:dyDescent="0.3">
      <c r="A52" s="363" t="s">
        <v>681</v>
      </c>
      <c r="B52" s="364"/>
      <c r="C52" s="368"/>
      <c r="D52" s="363"/>
      <c r="E52" s="366"/>
      <c r="F52" s="366"/>
    </row>
    <row r="53" spans="1:6" x14ac:dyDescent="0.3">
      <c r="A53" s="363" t="s">
        <v>628</v>
      </c>
      <c r="B53" s="364"/>
      <c r="C53" s="367"/>
      <c r="D53" s="363"/>
      <c r="E53" s="366"/>
      <c r="F53" s="366"/>
    </row>
    <row r="54" spans="1:6" x14ac:dyDescent="0.3">
      <c r="A54" s="363" t="s">
        <v>682</v>
      </c>
      <c r="B54" s="364"/>
      <c r="C54" s="365"/>
      <c r="D54" s="363"/>
      <c r="E54" s="366"/>
      <c r="F54" s="366"/>
    </row>
    <row r="55" spans="1:6" x14ac:dyDescent="0.3">
      <c r="A55" s="363" t="s">
        <v>683</v>
      </c>
      <c r="B55" s="364"/>
      <c r="C55" s="365"/>
      <c r="D55" s="363"/>
      <c r="E55" s="366"/>
      <c r="F55" s="366"/>
    </row>
    <row r="56" spans="1:6" x14ac:dyDescent="0.3">
      <c r="A56" s="363" t="s">
        <v>629</v>
      </c>
      <c r="B56" s="364"/>
      <c r="C56" s="367"/>
      <c r="D56" s="363"/>
      <c r="E56" s="366"/>
      <c r="F56" s="366"/>
    </row>
    <row r="57" spans="1:6" x14ac:dyDescent="0.3">
      <c r="A57" s="361" t="s">
        <v>684</v>
      </c>
      <c r="B57" s="362"/>
      <c r="C57" s="355"/>
      <c r="D57" s="355"/>
      <c r="E57" s="355"/>
      <c r="F57" s="355"/>
    </row>
    <row r="58" spans="1:6" x14ac:dyDescent="0.3">
      <c r="A58" s="363" t="s">
        <v>630</v>
      </c>
      <c r="B58" s="364"/>
      <c r="C58" s="367"/>
      <c r="D58" s="363"/>
      <c r="E58" s="366"/>
      <c r="F58" s="366"/>
    </row>
    <row r="59" spans="1:6" x14ac:dyDescent="0.3">
      <c r="A59" s="363" t="s">
        <v>631</v>
      </c>
      <c r="B59" s="364"/>
      <c r="C59" s="367"/>
      <c r="D59" s="363"/>
      <c r="E59" s="366"/>
      <c r="F59" s="366"/>
    </row>
    <row r="60" spans="1:6" x14ac:dyDescent="0.3">
      <c r="A60" s="363" t="s">
        <v>632</v>
      </c>
      <c r="B60" s="364"/>
      <c r="C60" s="367"/>
      <c r="D60" s="363"/>
      <c r="E60" s="366"/>
      <c r="F60" s="366"/>
    </row>
    <row r="61" spans="1:6" x14ac:dyDescent="0.3">
      <c r="A61" s="361" t="s">
        <v>685</v>
      </c>
      <c r="B61" s="362"/>
      <c r="C61" s="355"/>
      <c r="D61" s="355"/>
      <c r="E61" s="355"/>
      <c r="F61" s="355"/>
    </row>
    <row r="62" spans="1:6" x14ac:dyDescent="0.3">
      <c r="A62" s="363" t="s">
        <v>686</v>
      </c>
      <c r="B62" s="364"/>
      <c r="C62" s="365"/>
      <c r="D62" s="363"/>
      <c r="E62" s="366"/>
      <c r="F62" s="366"/>
    </row>
    <row r="63" spans="1:6" x14ac:dyDescent="0.3">
      <c r="A63" s="363" t="s">
        <v>687</v>
      </c>
      <c r="B63" s="364"/>
      <c r="C63" s="365"/>
      <c r="D63" s="363"/>
      <c r="E63" s="366"/>
      <c r="F63" s="366"/>
    </row>
    <row r="64" spans="1:6" x14ac:dyDescent="0.3">
      <c r="A64" s="363" t="s">
        <v>688</v>
      </c>
      <c r="B64" s="364"/>
      <c r="C64" s="365"/>
      <c r="D64" s="363"/>
      <c r="E64" s="366"/>
      <c r="F64" s="366"/>
    </row>
    <row r="65" spans="1:6" x14ac:dyDescent="0.3">
      <c r="A65" s="363" t="s">
        <v>689</v>
      </c>
      <c r="B65" s="364"/>
      <c r="C65" s="365"/>
      <c r="D65" s="363"/>
      <c r="E65" s="366"/>
      <c r="F65" s="366"/>
    </row>
    <row r="66" spans="1:6" x14ac:dyDescent="0.3">
      <c r="A66" s="363" t="s">
        <v>690</v>
      </c>
      <c r="B66" s="364"/>
      <c r="C66" s="365"/>
      <c r="D66" s="363"/>
      <c r="E66" s="366"/>
      <c r="F66" s="366"/>
    </row>
    <row r="68" spans="1:6" x14ac:dyDescent="0.3">
      <c r="A68" s="356" t="s">
        <v>691</v>
      </c>
    </row>
  </sheetData>
  <mergeCells count="12">
    <mergeCell ref="B61:F61"/>
    <mergeCell ref="B30:F30"/>
    <mergeCell ref="B36:F36"/>
    <mergeCell ref="B45:F45"/>
    <mergeCell ref="B49:F49"/>
    <mergeCell ref="B51:F51"/>
    <mergeCell ref="B57:F57"/>
    <mergeCell ref="A3:H3"/>
    <mergeCell ref="B5:E5"/>
    <mergeCell ref="B9:F9"/>
    <mergeCell ref="B17:F17"/>
    <mergeCell ref="B24:F2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31</vt:i4>
      </vt:variant>
    </vt:vector>
  </HeadingPairs>
  <TitlesOfParts>
    <vt:vector size="52" baseType="lpstr">
      <vt:lpstr>Cover</vt:lpstr>
      <vt:lpstr>Index</vt:lpstr>
      <vt:lpstr>Audit Report</vt:lpstr>
      <vt:lpstr>1_project details</vt:lpstr>
      <vt:lpstr>2 _IS</vt:lpstr>
      <vt:lpstr>3 BS</vt:lpstr>
      <vt:lpstr>4_other income</vt:lpstr>
      <vt:lpstr>5. Budget vs Actuals</vt:lpstr>
      <vt:lpstr>6_change in suppliers</vt:lpstr>
      <vt:lpstr>7. community improvement</vt:lpstr>
      <vt:lpstr>8. reserve fund expense</vt:lpstr>
      <vt:lpstr>9. unplanned maint&amp; accruals</vt:lpstr>
      <vt:lpstr>10. bank balances</vt:lpstr>
      <vt:lpstr>11. unit balances</vt:lpstr>
      <vt:lpstr>12. supplier balance</vt:lpstr>
      <vt:lpstr>13 accruals</vt:lpstr>
      <vt:lpstr>14. transactions with developer</vt:lpstr>
      <vt:lpstr>15. transactions with devel </vt:lpstr>
      <vt:lpstr>16. Notes Summary</vt:lpstr>
      <vt:lpstr>17. PBC Checklist Status</vt:lpstr>
      <vt:lpstr>18. Requirements Tracker</vt:lpstr>
      <vt:lpstr>'Audit Report'!_Hlk152849472</vt:lpstr>
      <vt:lpstr>'1_project details'!Print_Area</vt:lpstr>
      <vt:lpstr>'10. bank balances'!Print_Area</vt:lpstr>
      <vt:lpstr>'11. unit balances'!Print_Area</vt:lpstr>
      <vt:lpstr>'12. supplier balance'!Print_Area</vt:lpstr>
      <vt:lpstr>'13 accruals'!Print_Area</vt:lpstr>
      <vt:lpstr>'14. transactions with developer'!Print_Area</vt:lpstr>
      <vt:lpstr>'15. transactions with devel '!Print_Area</vt:lpstr>
      <vt:lpstr>'2 _IS'!Print_Area</vt:lpstr>
      <vt:lpstr>'3 BS'!Print_Area</vt:lpstr>
      <vt:lpstr>'4_other income'!Print_Area</vt:lpstr>
      <vt:lpstr>'5. Budget vs Actuals'!Print_Area</vt:lpstr>
      <vt:lpstr>'6_change in suppliers'!Print_Area</vt:lpstr>
      <vt:lpstr>'7. community improvement'!Print_Area</vt:lpstr>
      <vt:lpstr>'8. reserve fund expense'!Print_Area</vt:lpstr>
      <vt:lpstr>'9. unplanned maint&amp; accruals'!Print_Area</vt:lpstr>
      <vt:lpstr>'Audit Report'!Print_Area</vt:lpstr>
      <vt:lpstr>Cover!Print_Area</vt:lpstr>
      <vt:lpstr>Index!Print_Area</vt:lpstr>
      <vt:lpstr>'10. bank balances'!Print_Titles</vt:lpstr>
      <vt:lpstr>'11. unit balances'!Print_Titles</vt:lpstr>
      <vt:lpstr>'12. supplier balance'!Print_Titles</vt:lpstr>
      <vt:lpstr>'13 accruals'!Print_Titles</vt:lpstr>
      <vt:lpstr>'14. transactions with developer'!Print_Titles</vt:lpstr>
      <vt:lpstr>'15. transactions with devel '!Print_Titles</vt:lpstr>
      <vt:lpstr>'5. Budget vs Actuals'!Print_Titles</vt:lpstr>
      <vt:lpstr>'6_change in suppliers'!Print_Titles</vt:lpstr>
      <vt:lpstr>'7. community improvement'!Print_Titles</vt:lpstr>
      <vt:lpstr>'8. reserve fund expense'!Print_Titles</vt:lpstr>
      <vt:lpstr>'9. unplanned maint&amp; accruals'!Print_Titles</vt:lpstr>
      <vt:lpstr>'Audit Report'!Print_Titles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dc:creator>
  <cp:lastModifiedBy>Baraa Kabbani</cp:lastModifiedBy>
  <cp:lastPrinted>2026-08-12T03:56:55Z</cp:lastPrinted>
  <dcterms:created xsi:type="dcterms:W3CDTF">2015-06-05T18:17:20Z</dcterms:created>
  <dcterms:modified xsi:type="dcterms:W3CDTF">2026-08-23T15:36:56Z</dcterms:modified>
</cp:coreProperties>
</file>