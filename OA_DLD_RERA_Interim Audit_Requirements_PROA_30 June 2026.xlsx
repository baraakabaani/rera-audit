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itsme\Desktop\RERA Audits\10.AA1652457552 - KHAZAEN ALTAMKEEN For Owner Association Management Services CO. L.L.C S.O.C -Joya Blanca Residences\"/>
    </mc:Choice>
  </mc:AlternateContent>
  <xr:revisionPtr revIDLastSave="0" documentId="13_ncr:1_{83CF0511-53BA-433F-81DF-232AF56CF4A5}" xr6:coauthVersionLast="47" xr6:coauthVersionMax="47" xr10:uidLastSave="{00000000-0000-0000-0000-000000000000}"/>
  <bookViews>
    <workbookView xWindow="-108" yWindow="-108" windowWidth="23256" windowHeight="12456" tabRatio="607" xr2:uid="{00000000-000D-0000-FFFF-FFFF00000000}"/>
  </bookViews>
  <sheets>
    <sheet name="Interim Audit Requirements" sheetId="1" r:id="rId1"/>
    <sheet name="Audit Status" sheetId="2" state="hidden" r:id="rId2"/>
  </sheets>
  <externalReferences>
    <externalReference r:id="rId3"/>
  </externalReferences>
  <definedNames>
    <definedName name="client_name">[1]Index!$C$5</definedName>
    <definedName name="Current_Year">[1]LEAD!$D$6</definedName>
    <definedName name="Date.prepared">[1]Index!$J$5</definedName>
    <definedName name="Date.reviewed1">[1]Index!$J$6</definedName>
    <definedName name="Date.reviewed2">[1]Index!$J$7</definedName>
    <definedName name="Last_Year">[1]LEAD!$H$6</definedName>
    <definedName name="Period">[1]Index!$C$6</definedName>
    <definedName name="Prepared.by">[1]Index!$H$5</definedName>
    <definedName name="_xlnm.Print_Area" localSheetId="1">'Audit Status'!$A$1:$N$25</definedName>
    <definedName name="_xlnm.Print_Titles" localSheetId="0">'Interim Audit Requirements'!$1:$3</definedName>
    <definedName name="Reviewed.by1">[1]Index!$H$6</definedName>
    <definedName name="Reviewed.by2">[1]Index!$H$7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1" l="1"/>
  <c r="A86" i="1"/>
  <c r="A82" i="1"/>
  <c r="A83" i="1" s="1"/>
  <c r="A75" i="1"/>
  <c r="A76" i="1" s="1"/>
  <c r="A77" i="1" s="1"/>
  <c r="A78" i="1" s="1"/>
  <c r="A54" i="1"/>
  <c r="A55" i="1" s="1"/>
  <c r="A56" i="1" s="1"/>
  <c r="A57" i="1" s="1"/>
  <c r="A58" i="1" s="1"/>
  <c r="A87" i="1" l="1"/>
  <c r="A88" i="1" s="1"/>
  <c r="A89" i="1" s="1"/>
  <c r="A90" i="1" s="1"/>
  <c r="A51" i="1" l="1"/>
  <c r="A44" i="1"/>
  <c r="A45" i="1" s="1"/>
  <c r="A46" i="1" s="1"/>
  <c r="A47" i="1" s="1"/>
  <c r="A48" i="1" s="1"/>
  <c r="A37" i="1"/>
  <c r="A38" i="1" s="1"/>
  <c r="A39" i="1" s="1"/>
  <c r="A40" i="1" s="1"/>
  <c r="A41" i="1" s="1"/>
  <c r="A29" i="1"/>
  <c r="A30" i="1" s="1"/>
  <c r="A31" i="1" s="1"/>
  <c r="A32" i="1" s="1"/>
  <c r="A33" i="1" s="1"/>
  <c r="A34" i="1" s="1"/>
  <c r="A20" i="1"/>
  <c r="A21" i="1" s="1"/>
  <c r="A22" i="1" s="1"/>
  <c r="A23" i="1" s="1"/>
  <c r="A24" i="1" s="1"/>
  <c r="A25" i="1" s="1"/>
  <c r="A26" i="1" s="1"/>
  <c r="B4" i="2" l="1"/>
  <c r="B3" i="2"/>
  <c r="B2" i="2"/>
  <c r="C11" i="2"/>
  <c r="C10" i="2"/>
  <c r="C9" i="2"/>
  <c r="C12" i="2" l="1"/>
</calcChain>
</file>

<file path=xl/sharedStrings.xml><?xml version="1.0" encoding="utf-8"?>
<sst xmlns="http://schemas.openxmlformats.org/spreadsheetml/2006/main" count="190" uniqueCount="135">
  <si>
    <t>Accountant/Finance Manager</t>
  </si>
  <si>
    <t>Yours sincerely,</t>
  </si>
  <si>
    <t>On behalf of</t>
  </si>
  <si>
    <t>Provided</t>
  </si>
  <si>
    <t>Pending</t>
  </si>
  <si>
    <t>Not applicable</t>
  </si>
  <si>
    <t>STATUS</t>
  </si>
  <si>
    <t>Total</t>
  </si>
  <si>
    <t>Audit Requirement - Status</t>
  </si>
  <si>
    <t>REMARKS</t>
  </si>
  <si>
    <t>Parker Russell Obaid Auditing</t>
  </si>
  <si>
    <t>Member of Parker Russell International</t>
  </si>
  <si>
    <t>INVESTMENTS IN CRYPTOCURRENCY</t>
  </si>
  <si>
    <r>
      <t>a)</t>
    </r>
    <r>
      <rPr>
        <sz val="10.5"/>
        <color theme="1"/>
        <rFont val="Times New Roman"/>
        <family val="1"/>
      </rPr>
      <t xml:space="preserve">      </t>
    </r>
    <r>
      <rPr>
        <sz val="10.5"/>
        <color theme="1"/>
        <rFont val="Calibri"/>
        <family val="2"/>
      </rPr>
      <t>List of Investments in cryptocurrency showing:</t>
    </r>
  </si>
  <si>
    <r>
      <t>i.</t>
    </r>
    <r>
      <rPr>
        <sz val="10.5"/>
        <color theme="1"/>
        <rFont val="Times New Roman"/>
        <family val="1"/>
      </rPr>
      <t xml:space="preserve">       </t>
    </r>
    <r>
      <rPr>
        <sz val="10.5"/>
        <color theme="1"/>
        <rFont val="Calibri"/>
        <family val="2"/>
      </rPr>
      <t>Name of currency</t>
    </r>
  </si>
  <si>
    <r>
      <t>ii.</t>
    </r>
    <r>
      <rPr>
        <sz val="10.5"/>
        <color theme="1"/>
        <rFont val="Times New Roman"/>
        <family val="1"/>
      </rPr>
      <t xml:space="preserve">      </t>
    </r>
    <r>
      <rPr>
        <sz val="10.5"/>
        <color theme="1"/>
        <rFont val="Calibri"/>
        <family val="2"/>
      </rPr>
      <t>Initial value of investment</t>
    </r>
  </si>
  <si>
    <r>
      <t>iii.</t>
    </r>
    <r>
      <rPr>
        <sz val="10.5"/>
        <color theme="1"/>
        <rFont val="Times New Roman"/>
        <family val="1"/>
      </rPr>
      <t xml:space="preserve">     </t>
    </r>
    <r>
      <rPr>
        <sz val="10.5"/>
        <color theme="1"/>
        <rFont val="Calibri"/>
        <family val="2"/>
      </rPr>
      <t>Date of investment</t>
    </r>
  </si>
  <si>
    <r>
      <t>iv.</t>
    </r>
    <r>
      <rPr>
        <sz val="10.5"/>
        <color theme="1"/>
        <rFont val="Times New Roman"/>
        <family val="1"/>
      </rPr>
      <t xml:space="preserve">     </t>
    </r>
    <r>
      <rPr>
        <sz val="10.5"/>
        <color theme="1"/>
        <rFont val="Calibri"/>
        <family val="2"/>
      </rPr>
      <t>Market value at reporting date</t>
    </r>
  </si>
  <si>
    <r>
      <t>v.</t>
    </r>
    <r>
      <rPr>
        <sz val="10.5"/>
        <color theme="1"/>
        <rFont val="Times New Roman"/>
        <family val="1"/>
      </rPr>
      <t xml:space="preserve">      </t>
    </r>
    <r>
      <rPr>
        <sz val="10.5"/>
        <color theme="1"/>
        <rFont val="Calibri"/>
        <family val="2"/>
      </rPr>
      <t>Ownership of the investment (Entity/Senior Management)</t>
    </r>
  </si>
  <si>
    <t>Document : Audit Requirement List / Audit Documents Checklist</t>
  </si>
  <si>
    <t>Dubai, United Arab Emirates</t>
  </si>
  <si>
    <t>Date:</t>
  </si>
  <si>
    <t>6.1.1</t>
  </si>
  <si>
    <t>6.1.2</t>
  </si>
  <si>
    <t>Copy of the Company’s Trade License, Memorandum of Association, and registered address proof;</t>
  </si>
  <si>
    <t>Details of the Company’s shareholding structure;</t>
  </si>
  <si>
    <t>Copy of the passport (and visa, if applicable), Emirates ID, and address proof of the shareholder(s);</t>
  </si>
  <si>
    <t>Copy of the VAT Registration Certificate;</t>
  </si>
  <si>
    <t>Details of the Ultimate Beneficial Owner (UBO).</t>
  </si>
  <si>
    <t>A.</t>
  </si>
  <si>
    <t>Know Your Customer (KYC) requirements implemented for Anti-Money Laundering (AML) compliance purposes.</t>
  </si>
  <si>
    <t xml:space="preserve">  SECTION 1: ENTITY DOCUMENTATION &amp; GOVERNANCE</t>
  </si>
  <si>
    <t>OA Registration Certificate — current and valid</t>
  </si>
  <si>
    <t>OA Constitution / Articles of Association</t>
  </si>
  <si>
    <t>Board of Directors Resolution — appointment of current Board members</t>
  </si>
  <si>
    <t>Annual General Meeting (AGM) Minutes — most recent</t>
  </si>
  <si>
    <t>Appointment Letter / Contract — Management Company (MC)</t>
  </si>
  <si>
    <t>RERA-approved Service Charge Budget for 2026</t>
  </si>
  <si>
    <t>Unit / Common Area Schedule — RERA registered</t>
  </si>
  <si>
    <t>SERVICE CHARGE ACCOUNTS — GENERAL FUND</t>
  </si>
  <si>
    <t>General Fund Trial Balance as at 30 June 2026</t>
  </si>
  <si>
    <t>Requirement / Document</t>
  </si>
  <si>
    <t>Evidence / Document Type</t>
  </si>
  <si>
    <t>Original or certified copy of current RERA OA registration certificate</t>
  </si>
  <si>
    <t>Filed copy with RERA; any amendments registered to date</t>
  </si>
  <si>
    <t>Signed board resolution; RERA notification of current board composition</t>
  </si>
  <si>
    <t>Signed AGM minutes; attendance register; quorum confirmation</t>
  </si>
  <si>
    <t>Signed MC appointment agreement; RERA-approved MC registration</t>
  </si>
  <si>
    <t>RERA-stamped approved budget 2026; RERA approval letter</t>
  </si>
  <si>
    <t>RERA-registered unit entitlement schedule; DLD strata plan confirmation</t>
  </si>
  <si>
    <t>Signed TB; chart of accounts; mapping to approved budget categories</t>
  </si>
  <si>
    <t>Service Charge Levy Schedule — all units, 1 Jan to 30 Jun 2026</t>
  </si>
  <si>
    <t>Service Charge Collection Register — 1 Jan to 30 Jun 2026</t>
  </si>
  <si>
    <t>Arrears Schedule — all units with outstanding service charges as at 30 Jun 2026</t>
  </si>
  <si>
    <t>Accounts Receivable Reconciliation — service charge debtors</t>
  </si>
  <si>
    <t>Refund / Adjustment Register — credits issued to unit owners</t>
  </si>
  <si>
    <t>Unit-by-unit levy schedule; calculation basis; RERA unit entitlement percentages</t>
  </si>
  <si>
    <t>Full collections listing by unit; amounts billed vs. collected; outstanding balances</t>
  </si>
  <si>
    <t>Aged arrears schedule by unit; debt recovery actions taken; legal referrals if any</t>
  </si>
  <si>
    <t>TB debtors balance vs. collection register; reconciling items explained</t>
  </si>
  <si>
    <t>Schedule of all refunds and adjustments; authorisation approvals; board resolution if applicable</t>
  </si>
  <si>
    <t>RESERVE FUND — RERA REQUIREMENTS</t>
  </si>
  <si>
    <t>Reserve Fund Balance as at 30 June 2026</t>
  </si>
  <si>
    <t>Reserve Fund Contribution Schedule — 1 Jan to 30 Jun 2026</t>
  </si>
  <si>
    <t>Reserve Fund Study / Long-Term Maintenance Plan — current</t>
  </si>
  <si>
    <t>Reserve Fund Bank Account Statement — 1 Jan to 30 Jun 2026</t>
  </si>
  <si>
    <t>Reserve Fund Expenditure — approval documentation</t>
  </si>
  <si>
    <t>Separate reserve fund TB or ledger extract; bank statement confirmation</t>
  </si>
  <si>
    <t>Unit-by-unit reserve fund levy; total collected; RERA minimum percentage compliance</t>
  </si>
  <si>
    <t>Approved reserve fund study (not older than 3 years); specialist certification</t>
  </si>
  <si>
    <t>Separate segregated reserve fund bank account statements; bank confirmation</t>
  </si>
  <si>
    <t>Board resolution for each disbursement; invoices; payment receipts</t>
  </si>
  <si>
    <t>BANK ACCOUNTS &amp; CASH MANAGEMENT</t>
  </si>
  <si>
    <t>General Fund Bank Account Statements — 1 Jan to 30 Jun 2026</t>
  </si>
  <si>
    <t>Bank Reconciliation Statements — General Fund, all accounts</t>
  </si>
  <si>
    <t>Confirmation — Reserve Fund held in separate segregated account</t>
  </si>
  <si>
    <t>Petty Cash Register and Reconciliation — 1 Jan to 30 Jun 2026</t>
  </si>
  <si>
    <t>Fixed Deposit / Investment Account Statements — if applicable</t>
  </si>
  <si>
    <t>All bank statements for OA operating accounts; full 6-month period</t>
  </si>
  <si>
    <t>Monthly bank reconciliations Jan–Jun 2026; reconciling items cleared</t>
  </si>
  <si>
    <t>Written bank confirmation that reserve fund is in a separate named account</t>
  </si>
  <si>
    <t>Petty cash book; receipts; monthly reconciliation; custodian sign-off</t>
  </si>
  <si>
    <t>Statements for any term deposits; board resolution authorising investment</t>
  </si>
  <si>
    <t>EXPENDITURE — OPERATING EXPENSES</t>
  </si>
  <si>
    <t>General Ledger — detailed listing of all expenses, 1 Jan to 30 Jun 2026</t>
  </si>
  <si>
    <t>Significant Contracts — cleaning, security, maintenance, landscaping, utilities</t>
  </si>
  <si>
    <t>Procurement documentation — tender process for significant contracts</t>
  </si>
  <si>
    <t>Invoices and payment vouchers — all expenses above AED 5,000</t>
  </si>
  <si>
    <t>Utilities Expenditure — DEWA, Empower, Telecom — Jan to Jun 2026</t>
  </si>
  <si>
    <t>Management Fee Invoices and supporting calculation — Jan to Jun 2026</t>
  </si>
  <si>
    <t>Full GL print-out by expense category; comparison to approved budget</t>
  </si>
  <si>
    <t>Copies of all current service contracts; board approval resolutions; DLD/RERA approval if &gt; threshold</t>
  </si>
  <si>
    <t>Tender documents; comparative quotations (minimum 3); evaluation report; award resolution</t>
  </si>
  <si>
    <t>Original or certified invoices; payment vouchers; authorisation signatures</t>
  </si>
  <si>
    <t>All DEWA / Empower / telecom invoices; payment receipts; allocation basis to common areas</t>
  </si>
  <si>
    <t>All current insurance policy documents; premium payment receipts; coverage verification</t>
  </si>
  <si>
    <t>Insurance Policies — building, public liability, directors &amp; officers</t>
  </si>
  <si>
    <t>VAT Returns — Jan to Jun 2026 (if OA is FTA registered)</t>
  </si>
  <si>
    <t>VAT returns filed Jan–Jun 2026; VAT registration certificate; FTA correspondence</t>
  </si>
  <si>
    <t>MC fee invoices; RERA-approved fee schedule; calculation supporting notes</t>
  </si>
  <si>
    <t xml:space="preserve"> BUDGET COMPARISON &amp; VARIANCE ANALYSIS</t>
  </si>
  <si>
    <t>Budget vs. Actual Comparison Report — General Fund, Jan to Jun 2026</t>
  </si>
  <si>
    <t>Budget vs. Actual Comparison Report — Reserve Fund, Jan to Jun 2026</t>
  </si>
  <si>
    <t>Narrative Management Report — interim period commentary</t>
  </si>
  <si>
    <t>Budget vs. actual by category; variance explanations for items &gt;10% adverse</t>
  </si>
  <si>
    <t>Reserve fund budget vs. actual; explanation of under/over-collection</t>
  </si>
  <si>
    <t>Board / MC narrative on significant variances, operational matters, disputes</t>
  </si>
  <si>
    <t>COMPLIANCE &amp; REGULATORY</t>
  </si>
  <si>
    <t>RERA Compliance Confirmation — OA registration current</t>
  </si>
  <si>
    <t>Dubai Land Department — correspondence and notices, Jan to Jun 2026</t>
  </si>
  <si>
    <t>Legal Disputes — schedule of all active and threatened litigation</t>
  </si>
  <si>
    <t>List of Unit Owners referred to RERA / DLD for arrears recovery</t>
  </si>
  <si>
    <t>Health &amp; Safety Compliance Documentation — fire safety, Civil Defence approvals</t>
  </si>
  <si>
    <t>Current RERA OA registration; no regulatory notices outstanding</t>
  </si>
  <si>
    <t>Any DLD correspondence; notices received; responses submitted</t>
  </si>
  <si>
    <t>Schedule of disputes; legal counsel opinions; provisioning assessment</t>
  </si>
  <si>
    <t>List of units referred; amounts outstanding; status of enforcement actions</t>
  </si>
  <si>
    <t>Current Civil Defence NOC; fire safety inspection reports; lift inspection certificates</t>
  </si>
  <si>
    <t>HANDOVER &amp; DEVELOPER MATTERS (if applicable)</t>
  </si>
  <si>
    <t>Handover Documentation from Developer — if community is in post-handover period</t>
  </si>
  <si>
    <t>Developer Defect Liability Claims — schedule of outstanding claims</t>
  </si>
  <si>
    <t>Developer Service Charge Contribution — unsold units as at 30 Jun 2026</t>
  </si>
  <si>
    <t>Handover certificate; snagging list; defect liability period status; RERA confirmation</t>
  </si>
  <si>
    <t>Snag schedules; correspondence with developer; RERA dispute filings if any</t>
  </si>
  <si>
    <t>Unsold unit schedule; developer SC levy calculation; payment confirmation</t>
  </si>
  <si>
    <t>Sathyajith Narayanan</t>
  </si>
  <si>
    <t>Audit Manager</t>
  </si>
  <si>
    <t>To commence the interim audit for the above-mentioned period, we would appreciate it if you could provide the following documents at your earliest convenience.</t>
  </si>
  <si>
    <t>Kindly update the Status column as "Provided" for documents that have been submitted and "Not Applicable" for items that are not applicable to your entity.</t>
  </si>
  <si>
    <t>Place:</t>
  </si>
  <si>
    <t>Should you have any queries regarding the information requested above or require any clarification in connection with our forthcoming audit, please do not hesitate to contact us at your earliest convenience.</t>
  </si>
  <si>
    <t>Audit Period : 01-01-2024 to 30-06-2024</t>
  </si>
  <si>
    <t>REQUIREMENTS FOR THE AUDIT FOR THE 6 MONTHS PERIOD ENDED 30 JUNE 2024</t>
  </si>
  <si>
    <t>Client :  KHAZAEN ALTAMKEEN For Owner Association Management Services -Project Name - Joya Blanca Residences</t>
  </si>
  <si>
    <t>Client Name: KHAZAEN ALTAMKEEN For Owner Association Management Services -Project Name - Joya Blanca Residences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</si>
</sst>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00_-;\-* #,##0.00_-;_-* &quot;-&quot;??_-;_-@_-"/>
    <numFmt numFmtId="165" formatCode="[$-409]dd\-mmm\-yy;@"/>
  </numFmts>
  <fonts count="33" x14ac:knownFonts="1">
    <font>
      <sz val="10"/>
      <color theme="1"/>
      <name val="Calibri"/>
      <family val="2"/>
    </font>
    <font>
      <sz val="11"/>
      <color theme="1"/>
      <name val="Calibri"/>
      <family val="2"/>
    </font>
    <font>
      <b/>
      <sz val="11"/>
      <color theme="1"/>
      <name val="Calibri"/>
      <family val="2"/>
    </font>
    <font>
      <b/>
      <sz val="4"/>
      <color theme="1"/>
      <name val="Calibri"/>
      <family val="2"/>
    </font>
    <font>
      <b/>
      <sz val="10"/>
      <name val="Calibri"/>
      <family val="2"/>
    </font>
    <font>
      <b/>
      <u/>
      <sz val="10"/>
      <name val="Calibri"/>
      <family val="2"/>
    </font>
    <font>
      <sz val="10"/>
      <name val="Calibri"/>
      <family val="2"/>
    </font>
    <font>
      <b/>
      <sz val="10"/>
      <color rgb="FFFFFF00"/>
      <name val="Calibri"/>
      <family val="2"/>
    </font>
    <font>
      <sz val="10.5"/>
      <color theme="1"/>
      <name val="Calibri"/>
      <family val="2"/>
    </font>
    <font>
      <sz val="10.5"/>
      <color theme="1"/>
      <name val="Times New Roman"/>
      <family val="1"/>
    </font>
    <font>
      <b/>
      <u/>
      <sz val="10.5"/>
      <color rgb="FF000000"/>
      <name val="Calibri"/>
      <family val="2"/>
    </font>
    <font>
      <b/>
      <u/>
      <sz val="10.5"/>
      <color theme="1"/>
      <name val="Calibri"/>
      <family val="2"/>
    </font>
    <font>
      <sz val="10.5"/>
      <color theme="1"/>
      <name val="Calibri"/>
      <family val="2"/>
      <scheme val="minor"/>
    </font>
    <font>
      <sz val="10.5"/>
      <color rgb="FF000000"/>
      <name val="Calibri"/>
      <family val="2"/>
    </font>
    <font>
      <i/>
      <sz val="10.5"/>
      <color theme="1"/>
      <name val="Calibri"/>
      <family val="2"/>
    </font>
    <font>
      <b/>
      <sz val="10.5"/>
      <color rgb="FFFF0000"/>
      <name val="Calibri"/>
      <family val="2"/>
    </font>
    <font>
      <b/>
      <sz val="10.5"/>
      <color theme="1"/>
      <name val="Calibri"/>
      <family val="2"/>
    </font>
    <font>
      <i/>
      <sz val="10.5"/>
      <color theme="1" tint="0.34998626667073579"/>
      <name val="Calibri"/>
      <family val="2"/>
    </font>
    <font>
      <b/>
      <sz val="12"/>
      <color theme="1"/>
      <name val="Calibri"/>
      <family val="2"/>
    </font>
    <font>
      <b/>
      <sz val="12"/>
      <color rgb="FFFFFF00"/>
      <name val="Calibri"/>
      <family val="2"/>
    </font>
    <font>
      <sz val="12"/>
      <color theme="0"/>
      <name val="Calibri"/>
      <family val="2"/>
    </font>
    <font>
      <sz val="12"/>
      <color theme="1"/>
      <name val="Calibri"/>
      <family val="2"/>
    </font>
    <font>
      <sz val="10"/>
      <color theme="1"/>
      <name val="Calibri"/>
      <family val="2"/>
    </font>
    <font>
      <u/>
      <sz val="10"/>
      <color theme="10"/>
      <name val="Arial"/>
      <family val="2"/>
    </font>
    <font>
      <sz val="10"/>
      <name val="Arial"/>
      <family val="2"/>
    </font>
    <font>
      <b/>
      <sz val="10"/>
      <color theme="1"/>
      <name val="Calibri"/>
      <family val="2"/>
    </font>
    <font>
      <sz val="11"/>
      <name val="Calibri"/>
      <family val="2"/>
    </font>
    <font>
      <sz val="10.5"/>
      <name val="Calibri"/>
      <family val="2"/>
    </font>
    <font>
      <b/>
      <sz val="10.5"/>
      <name val="Calibri"/>
      <family val="2"/>
    </font>
    <font>
      <b/>
      <u/>
      <sz val="11"/>
      <color rgb="FFFF0000"/>
      <name val="Calibri"/>
      <family val="2"/>
    </font>
    <font>
      <b/>
      <sz val="11"/>
      <color rgb="FFFF0000"/>
      <name val="Calibri"/>
      <family val="2"/>
    </font>
    <font>
      <b/>
      <u/>
      <sz val="10.5"/>
      <color rgb="FFFF0000"/>
      <name val="Calibri"/>
      <family val="2"/>
    </font>
    <font>
      <b/>
      <sz val="11"/>
      <name val="Calibri"/>
      <family val="2"/>
    </font>
  </fonts>
  <fills count="7">
    <fill>
      <patternFill patternType="none"/>
    </fill>
    <fill>
      <patternFill patternType="gray125"/>
    </fill>
    <fill>
      <patternFill patternType="solid">
        <fgColor rgb="FFD23A38"/>
        <bgColor indexed="64"/>
      </patternFill>
    </fill>
    <fill>
      <patternFill patternType="solid">
        <fgColor theme="0" tint="-4.9989318521683403E-2"/>
        <bgColor indexed="64"/>
      </patternFill>
    </fill>
    <fill>
      <patternFill patternType="solid">
        <fgColor rgb="FF002060"/>
        <bgColor indexed="64"/>
      </patternFill>
    </fill>
    <fill>
      <patternFill patternType="solid">
        <fgColor rgb="FFFFFF00"/>
        <bgColor indexed="64"/>
      </patternFill>
    </fill>
    <fill>
      <patternFill patternType="solid">
        <fgColor theme="9" tint="0.79998168889431442"/>
        <bgColor indexed="64"/>
      </patternFill>
    </fill>
  </fills>
  <borders count="1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
    <xf numFmtId="0" fontId="0" fillId="0" borderId="0"/>
    <xf numFmtId="43" fontId="22" fillId="0" borderId="0" applyFont="0" applyFill="0" applyBorder="0" applyAlignment="0" applyProtection="0"/>
    <xf numFmtId="0" fontId="23" fillId="0" borderId="0" applyNumberFormat="0" applyFill="0" applyBorder="0" applyAlignment="0" applyProtection="0">
      <alignment vertical="top"/>
      <protection locked="0"/>
    </xf>
    <xf numFmtId="164" fontId="24" fillId="0" borderId="0" applyFont="0" applyFill="0" applyBorder="0" applyAlignment="0" applyProtection="0"/>
  </cellStyleXfs>
  <cellXfs count="67">
    <xf numFmtId="0" fontId="0" fillId="0" borderId="0" xfId="0"/>
    <xf numFmtId="0" fontId="0" fillId="0" borderId="0" xfId="0" applyAlignment="1">
      <alignment vertical="center"/>
    </xf>
    <xf numFmtId="0" fontId="2" fillId="0" borderId="0" xfId="0" applyFont="1" applyAlignment="1">
      <alignment vertical="center"/>
    </xf>
    <xf numFmtId="0" fontId="3" fillId="0" borderId="0" xfId="0" applyFont="1" applyAlignment="1">
      <alignment horizontal="justify" vertical="center"/>
    </xf>
    <xf numFmtId="0" fontId="1" fillId="0" borderId="0" xfId="0" applyFont="1" applyAlignment="1">
      <alignment horizontal="left" vertical="center"/>
    </xf>
    <xf numFmtId="0" fontId="0" fillId="0" borderId="0" xfId="0" applyAlignment="1">
      <alignment horizontal="center"/>
    </xf>
    <xf numFmtId="0" fontId="0" fillId="2" borderId="0" xfId="0" applyFill="1"/>
    <xf numFmtId="0" fontId="5" fillId="3" borderId="0" xfId="0" applyFont="1" applyFill="1"/>
    <xf numFmtId="0" fontId="4" fillId="3" borderId="5" xfId="0" applyFont="1" applyFill="1" applyBorder="1"/>
    <xf numFmtId="0" fontId="4" fillId="3" borderId="6" xfId="0" applyFont="1" applyFill="1" applyBorder="1"/>
    <xf numFmtId="0" fontId="6" fillId="3" borderId="0" xfId="0" applyFont="1" applyFill="1"/>
    <xf numFmtId="0" fontId="6" fillId="3" borderId="0" xfId="0" applyFont="1" applyFill="1" applyAlignment="1">
      <alignment vertical="center"/>
    </xf>
    <xf numFmtId="0" fontId="6" fillId="3" borderId="1" xfId="0" applyFont="1" applyFill="1" applyBorder="1"/>
    <xf numFmtId="0" fontId="6" fillId="3" borderId="2" xfId="0" applyFont="1" applyFill="1" applyBorder="1"/>
    <xf numFmtId="0" fontId="6" fillId="3" borderId="3" xfId="0" applyFont="1" applyFill="1" applyBorder="1"/>
    <xf numFmtId="0" fontId="6" fillId="3" borderId="4" xfId="0" applyFont="1" applyFill="1" applyBorder="1"/>
    <xf numFmtId="0" fontId="7" fillId="4" borderId="13" xfId="0" applyFont="1" applyFill="1" applyBorder="1" applyAlignment="1">
      <alignment vertical="center"/>
    </xf>
    <xf numFmtId="0" fontId="7" fillId="4" borderId="7" xfId="0" applyFont="1" applyFill="1" applyBorder="1" applyAlignment="1">
      <alignment vertical="center"/>
    </xf>
    <xf numFmtId="0" fontId="7" fillId="4" borderId="8" xfId="0" applyFont="1" applyFill="1" applyBorder="1" applyAlignment="1">
      <alignment vertical="center"/>
    </xf>
    <xf numFmtId="0" fontId="7" fillId="4" borderId="9" xfId="0" applyFont="1" applyFill="1" applyBorder="1" applyAlignment="1">
      <alignment vertical="center"/>
    </xf>
    <xf numFmtId="0" fontId="7" fillId="4" borderId="14" xfId="0" applyFont="1" applyFill="1" applyBorder="1" applyAlignment="1">
      <alignment vertical="center"/>
    </xf>
    <xf numFmtId="0" fontId="7" fillId="4" borderId="15" xfId="0" applyFont="1" applyFill="1" applyBorder="1" applyAlignment="1">
      <alignment vertical="center"/>
    </xf>
    <xf numFmtId="0" fontId="7" fillId="4" borderId="10" xfId="0" applyFont="1" applyFill="1" applyBorder="1" applyAlignment="1">
      <alignment vertical="center"/>
    </xf>
    <xf numFmtId="0" fontId="7" fillId="4" borderId="11" xfId="0" applyFont="1" applyFill="1" applyBorder="1" applyAlignment="1">
      <alignment vertical="center"/>
    </xf>
    <xf numFmtId="0" fontId="7" fillId="4" borderId="12" xfId="0" applyFont="1" applyFill="1" applyBorder="1" applyAlignment="1">
      <alignment vertical="center"/>
    </xf>
    <xf numFmtId="0" fontId="8" fillId="0" borderId="0" xfId="0" applyFont="1"/>
    <xf numFmtId="0" fontId="8" fillId="0" borderId="0" xfId="0" applyFont="1" applyAlignment="1">
      <alignment horizontal="justify" vertical="center"/>
    </xf>
    <xf numFmtId="0" fontId="8" fillId="0" borderId="0" xfId="0" applyFont="1" applyAlignment="1">
      <alignment horizontal="center"/>
    </xf>
    <xf numFmtId="0" fontId="10" fillId="0" borderId="0" xfId="0" applyFont="1" applyAlignment="1">
      <alignment horizontal="justify" vertical="center"/>
    </xf>
    <xf numFmtId="0" fontId="11" fillId="0" borderId="0" xfId="0" applyFont="1" applyAlignment="1">
      <alignment horizontal="center"/>
    </xf>
    <xf numFmtId="0" fontId="13" fillId="0" borderId="0" xfId="0" applyFont="1" applyAlignment="1">
      <alignment horizontal="justify" vertical="center"/>
    </xf>
    <xf numFmtId="0" fontId="14" fillId="0" borderId="0" xfId="0" applyFont="1" applyAlignment="1">
      <alignment horizontal="justify" vertical="center"/>
    </xf>
    <xf numFmtId="0" fontId="8" fillId="0" borderId="0" xfId="0" applyFont="1" applyAlignment="1">
      <alignment vertical="center"/>
    </xf>
    <xf numFmtId="0" fontId="16" fillId="0" borderId="0" xfId="0" applyFont="1" applyAlignment="1">
      <alignment horizontal="justify" vertical="center"/>
    </xf>
    <xf numFmtId="0" fontId="2" fillId="0" borderId="0" xfId="0" applyFont="1" applyAlignment="1">
      <alignment horizontal="center" vertical="top"/>
    </xf>
    <xf numFmtId="0" fontId="16" fillId="0" borderId="0" xfId="0" applyFont="1" applyAlignment="1">
      <alignment horizontal="center" vertical="top"/>
    </xf>
    <xf numFmtId="0" fontId="17" fillId="0" borderId="0" xfId="0" applyFont="1"/>
    <xf numFmtId="0" fontId="8" fillId="0" borderId="0" xfId="0" applyFont="1" applyAlignment="1">
      <alignment horizontal="center" vertical="top"/>
    </xf>
    <xf numFmtId="0" fontId="18" fillId="0" borderId="0" xfId="0" applyFont="1" applyAlignment="1">
      <alignment horizontal="center" vertical="top"/>
    </xf>
    <xf numFmtId="0" fontId="19" fillId="4" borderId="13" xfId="0" applyFont="1" applyFill="1" applyBorder="1" applyAlignment="1">
      <alignment vertical="center"/>
    </xf>
    <xf numFmtId="0" fontId="20" fillId="4" borderId="14" xfId="0" applyFont="1" applyFill="1" applyBorder="1" applyAlignment="1">
      <alignment horizontal="center" vertical="center"/>
    </xf>
    <xf numFmtId="0" fontId="20" fillId="4" borderId="15" xfId="0" applyFont="1" applyFill="1" applyBorder="1" applyAlignment="1">
      <alignment vertical="center"/>
    </xf>
    <xf numFmtId="0" fontId="21" fillId="0" borderId="0" xfId="0" applyFont="1" applyAlignment="1">
      <alignment vertical="center"/>
    </xf>
    <xf numFmtId="0" fontId="8" fillId="5" borderId="0" xfId="0" applyFont="1" applyFill="1" applyAlignment="1">
      <alignment horizontal="center"/>
    </xf>
    <xf numFmtId="0" fontId="8" fillId="5" borderId="0" xfId="0" applyFont="1" applyFill="1"/>
    <xf numFmtId="0" fontId="8" fillId="0" borderId="0" xfId="0" applyFont="1" applyAlignment="1">
      <alignment horizontal="center" vertical="center"/>
    </xf>
    <xf numFmtId="165" fontId="26" fillId="0" borderId="0" xfId="0" applyNumberFormat="1" applyFont="1" applyAlignment="1">
      <alignment horizontal="left" vertical="center"/>
    </xf>
    <xf numFmtId="0" fontId="26" fillId="0" borderId="0" xfId="0" applyFont="1" applyAlignment="1">
      <alignment vertical="center"/>
    </xf>
    <xf numFmtId="0" fontId="27" fillId="0" borderId="0" xfId="0" applyFont="1" applyAlignment="1">
      <alignment horizontal="justify" vertical="center"/>
    </xf>
    <xf numFmtId="0" fontId="28" fillId="0" borderId="0" xfId="0" applyFont="1" applyAlignment="1">
      <alignment horizontal="justify" vertical="center"/>
    </xf>
    <xf numFmtId="0" fontId="8" fillId="0" borderId="0" xfId="0" quotePrefix="1" applyFont="1" applyAlignment="1">
      <alignment horizontal="center" vertical="top"/>
    </xf>
    <xf numFmtId="0" fontId="8" fillId="0" borderId="0" xfId="0" quotePrefix="1" applyFont="1" applyAlignment="1">
      <alignment horizontal="right" vertical="top"/>
    </xf>
    <xf numFmtId="43" fontId="8" fillId="0" borderId="0" xfId="1" applyFont="1" applyAlignment="1">
      <alignment horizontal="justify" vertical="center"/>
    </xf>
    <xf numFmtId="0" fontId="12" fillId="0" borderId="0" xfId="2" applyFont="1" applyAlignment="1" applyProtection="1"/>
    <xf numFmtId="0" fontId="29" fillId="0" borderId="0" xfId="0" applyFont="1" applyAlignment="1">
      <alignment vertical="center"/>
    </xf>
    <xf numFmtId="0" fontId="30" fillId="0" borderId="0" xfId="0" applyFont="1" applyAlignment="1">
      <alignment horizontal="center" vertical="top"/>
    </xf>
    <xf numFmtId="0" fontId="29" fillId="0" borderId="0" xfId="0" applyFont="1" applyAlignment="1">
      <alignment horizontal="left" vertical="center"/>
    </xf>
    <xf numFmtId="0" fontId="15" fillId="0" borderId="0" xfId="0" applyFont="1" applyAlignment="1">
      <alignment horizontal="center" vertical="center"/>
    </xf>
    <xf numFmtId="0" fontId="19" fillId="4" borderId="14" xfId="0" applyFont="1" applyFill="1" applyBorder="1" applyAlignment="1">
      <alignment vertical="center"/>
    </xf>
    <xf numFmtId="0" fontId="31" fillId="6" borderId="0" xfId="0" applyFont="1" applyFill="1" applyAlignment="1">
      <alignment horizontal="center" vertical="center"/>
    </xf>
    <xf numFmtId="0" fontId="31" fillId="0" borderId="0" xfId="0" applyFont="1" applyAlignment="1">
      <alignment horizontal="center" vertical="center"/>
    </xf>
    <xf numFmtId="0" fontId="12" fillId="0" borderId="0" xfId="2" applyFont="1" applyAlignment="1" applyProtection="1">
      <alignment horizontal="justify" vertical="center"/>
    </xf>
    <xf numFmtId="0" fontId="16" fillId="0" borderId="0" xfId="0" applyFont="1" applyAlignment="1">
      <alignment vertical="top"/>
    </xf>
    <xf numFmtId="0" fontId="32" fillId="0" borderId="0" xfId="0" applyFont="1" applyAlignment="1">
      <alignment vertical="center"/>
    </xf>
    <xf numFmtId="15" fontId="25" fillId="0" borderId="0" xfId="0" applyNumberFormat="1" applyFont="1" applyAlignment="1">
      <alignment horizontal="left"/>
    </xf>
    <xf numFmtId="0" fontId="26" fillId="0" borderId="0" xfId="0" applyFont="1" applyAlignment="1">
      <alignment horizontal="justify" vertical="top" wrapText="1"/>
    </xf>
    <xf numFmtId="0" fontId="0" fillId="0" borderId="0" xfId="0" applyAlignment="1">
      <alignment horizontal="justify" vertical="top" wrapText="1"/>
    </xf>
  </cellXfs>
  <cellStyles count="4">
    <cellStyle name="Comma" xfId="1" builtinId="3"/>
    <cellStyle name="Comma 3" xfId="3" xr:uid="{00000000-0005-0000-0000-000001000000}"/>
    <cellStyle name="Hyperlink" xfId="2" builtinId="8"/>
    <cellStyle name="Normal" xfId="0" builtinId="0"/>
  </cellStyles>
  <dxfs count="2">
    <dxf>
      <fill>
        <patternFill>
          <bgColor rgb="FFFFFF66"/>
        </patternFill>
      </fill>
    </dxf>
    <dxf>
      <fill>
        <patternFill>
          <bgColor rgb="FFFFFF66"/>
        </patternFill>
      </fill>
    </dxf>
  </dxfs>
  <tableStyles count="0" defaultTableStyle="TableStyleMedium2" defaultPivotStyle="PivotStyleLight16"/>
  <colors>
    <mruColors>
      <color rgb="FFA29544"/>
      <color rgb="FFFFFF66"/>
      <color rgb="FF66FF66"/>
      <color rgb="FF79E852"/>
      <color rgb="FFD23A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Audit Requirement - Status</a:t>
            </a:r>
          </a:p>
        </c:rich>
      </c:tx>
      <c:overlay val="0"/>
      <c:spPr>
        <a:noFill/>
        <a:ln>
          <a:noFill/>
        </a:ln>
        <a:effectLst/>
      </c:spPr>
    </c:title>
    <c:autoTitleDeleted val="0"/>
    <c:plotArea>
      <c:layout/>
      <c:barChart>
        <c:barDir val="col"/>
        <c:grouping val="clustered"/>
        <c:varyColors val="1"/>
        <c:ser>
          <c:idx val="0"/>
          <c:order val="0"/>
          <c:spPr>
            <a:solidFill>
              <a:srgbClr val="FFFF00"/>
            </a:solidFill>
            <a:ln>
              <a:solidFill>
                <a:schemeClr val="bg1"/>
              </a:solidFill>
            </a:ln>
          </c:spPr>
          <c:invertIfNegative val="0"/>
          <c:dPt>
            <c:idx val="0"/>
            <c:invertIfNegative val="0"/>
            <c:bubble3D val="0"/>
            <c:spPr>
              <a:solidFill>
                <a:srgbClr val="FFFF00"/>
              </a:solidFill>
              <a:ln>
                <a:solidFill>
                  <a:schemeClr val="bg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45E-476A-9DC5-48E321591A34}"/>
              </c:ext>
            </c:extLst>
          </c:dPt>
          <c:dPt>
            <c:idx val="1"/>
            <c:invertIfNegative val="0"/>
            <c:bubble3D val="0"/>
            <c:spPr>
              <a:solidFill>
                <a:srgbClr val="FFFF00"/>
              </a:solidFill>
              <a:ln>
                <a:solidFill>
                  <a:schemeClr val="bg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45E-476A-9DC5-48E321591A34}"/>
              </c:ext>
            </c:extLst>
          </c:dPt>
          <c:dPt>
            <c:idx val="2"/>
            <c:invertIfNegative val="0"/>
            <c:bubble3D val="0"/>
            <c:spPr>
              <a:solidFill>
                <a:srgbClr val="FFFF00"/>
              </a:solidFill>
              <a:ln>
                <a:solidFill>
                  <a:schemeClr val="bg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45E-476A-9DC5-48E321591A34}"/>
              </c:ext>
            </c:extLst>
          </c:dPt>
          <c:cat>
            <c:strRef>
              <c:f>'Audit Status'!$B$9:$B$11</c:f>
              <c:strCache>
                <c:ptCount val="3"/>
                <c:pt idx="0">
                  <c:v>Pending</c:v>
                </c:pt>
                <c:pt idx="1">
                  <c:v>Provided</c:v>
                </c:pt>
                <c:pt idx="2">
                  <c:v>Not applicable</c:v>
                </c:pt>
              </c:strCache>
            </c:strRef>
          </c:cat>
          <c:val>
            <c:numRef>
              <c:f>'Audit Status'!$C$9:$C$11</c:f>
              <c:numCache>
                <c:formatCode>General</c:formatCode>
                <c:ptCount val="3"/>
                <c:pt idx="0">
                  <c:v>48</c:v>
                </c:pt>
                <c:pt idx="1">
                  <c:v>0</c:v>
                </c:pt>
                <c:pt idx="2">
                  <c:v>0</c:v>
                </c:pt>
              </c:numCache>
            </c:numRef>
          </c:val>
          <c:extLst>
            <c:ext xmlns:c16="http://schemas.microsoft.com/office/drawing/2014/chart" uri="{C3380CC4-5D6E-409C-BE32-E72D297353CC}">
              <c16:uniqueId val="{00000000-4502-4BDE-B2AD-E29FDBE78456}"/>
            </c:ext>
          </c:extLst>
        </c:ser>
        <c:dLbls>
          <c:showLegendKey val="0"/>
          <c:showVal val="0"/>
          <c:showCatName val="0"/>
          <c:showSerName val="0"/>
          <c:showPercent val="0"/>
          <c:showBubbleSize val="0"/>
        </c:dLbls>
        <c:gapWidth val="150"/>
        <c:axId val="491573632"/>
        <c:axId val="491575168"/>
      </c:barChart>
      <c:catAx>
        <c:axId val="4915736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crossAx val="491575168"/>
        <c:crosses val="autoZero"/>
        <c:auto val="1"/>
        <c:lblAlgn val="ctr"/>
        <c:lblOffset val="100"/>
        <c:noMultiLvlLbl val="0"/>
      </c:catAx>
      <c:valAx>
        <c:axId val="49157516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1000" b="1" i="0" u="none" strike="noStrike" kern="1200" cap="all" baseline="0">
                    <a:solidFill>
                      <a:schemeClr val="lt1">
                        <a:lumMod val="85000"/>
                      </a:schemeClr>
                    </a:solidFill>
                    <a:latin typeface="+mn-lt"/>
                    <a:ea typeface="+mn-ea"/>
                    <a:cs typeface="+mn-cs"/>
                  </a:defRPr>
                </a:pPr>
                <a:r>
                  <a:rPr lang="en-US" sz="1000"/>
                  <a:t>No. of Items </a:t>
                </a:r>
              </a:p>
            </c:rich>
          </c:tx>
          <c:overlay val="0"/>
          <c:spPr>
            <a:noFill/>
            <a:ln>
              <a:noFill/>
            </a:ln>
            <a:effectLst/>
          </c:sp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1573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a:noFill/>
    </a:ln>
    <a:effectLst/>
  </c:spPr>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5</xdr:col>
      <xdr:colOff>152400</xdr:colOff>
      <xdr:row>9</xdr:row>
      <xdr:rowOff>160020</xdr:rowOff>
    </xdr:from>
    <xdr:to>
      <xdr:col>13</xdr:col>
      <xdr:colOff>144780</xdr:colOff>
      <xdr:row>24</xdr:row>
      <xdr:rowOff>83820</xdr:rowOff>
    </xdr:to>
    <xdr:graphicFrame macro="">
      <xdr:nvGraphicFramePr>
        <xdr:cNvPr id="5" name="Chart 4">
          <a:extLst>
            <a:ext uri="{FF2B5EF4-FFF2-40B4-BE49-F238E27FC236}">
              <a16:creationId xmlns:a16="http://schemas.microsoft.com/office/drawing/2014/main" id="{CB57E009-CC7A-4DEA-B1A1-B27C01E750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rahuman/OneDrive/Documents/OFFICIAL/General/1.%20PR/15.%20Audit%20Report%20-%20Financial%20Statements/2020/Audit%20File%202020.xlsx" TargetMode="External"/><Relationship Id="rId1" Type="http://schemas.openxmlformats.org/officeDocument/2006/relationships/externalLinkPath" Target="/Users/rahuman/OneDrive/Documents/OFFICIAL/General/1.%20PR/15.%20Audit%20Report%20-%20Financial%20Statements/2020/Audit%20File%2020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dex"/>
      <sheetName val="AP-01"/>
      <sheetName val="AP-02"/>
      <sheetName val="AP-03"/>
      <sheetName val="AP"/>
      <sheetName val="FS"/>
      <sheetName val="LEAD"/>
      <sheetName val="SUMMARY"/>
      <sheetName val="JV LIST"/>
      <sheetName val="A-PPE"/>
      <sheetName val="A1-Lease - Arrears"/>
      <sheetName val="A2-Lease - Advance"/>
      <sheetName val="B-Intangible assets"/>
      <sheetName val="C-Investment property"/>
      <sheetName val="D-Investments"/>
      <sheetName val="E-Other NCA"/>
      <sheetName val="F-Inventory &amp; WIP"/>
      <sheetName val="G-Trade &amp; other receivables"/>
      <sheetName val="H-Loan to related party"/>
      <sheetName val="I-Due from related party"/>
      <sheetName val="J-Cash &amp; Bank"/>
      <sheetName val="K-Capital"/>
      <sheetName val="L-Current AC"/>
      <sheetName val="M-Statutory reserve"/>
      <sheetName val="N-General reserve"/>
      <sheetName val="O-Retained earnings"/>
      <sheetName val="P-Deferred liabilities"/>
      <sheetName val="Q-Long &amp; Short term loans"/>
      <sheetName val="R-Loan from related party"/>
      <sheetName val="S-Due to related party"/>
      <sheetName val="T-Trade &amp; other payables"/>
      <sheetName val="U-Sales"/>
      <sheetName val="V-COS"/>
      <sheetName val="W-Other income"/>
      <sheetName val="X-Admin expenses"/>
      <sheetName val="Y-Finance expenses"/>
      <sheetName val="Z-CONTINGENCIES"/>
      <sheetName val="AC-01"/>
    </sheetNames>
    <sheetDataSet>
      <sheetData sheetId="0">
        <row r="5">
          <cell r="C5" t="str">
            <v>ABC COMPANY</v>
          </cell>
          <cell r="J5">
            <v>44206</v>
          </cell>
        </row>
        <row r="6">
          <cell r="C6">
            <v>44196</v>
          </cell>
          <cell r="J6">
            <v>44216</v>
          </cell>
        </row>
        <row r="7">
          <cell r="H7" t="str">
            <v>ARM</v>
          </cell>
          <cell r="J7">
            <v>44221</v>
          </cell>
        </row>
      </sheetData>
      <sheetData sheetId="1" refreshError="1"/>
      <sheetData sheetId="2" refreshError="1"/>
      <sheetData sheetId="3" refreshError="1"/>
      <sheetData sheetId="4" refreshError="1"/>
      <sheetData sheetId="5" refreshError="1"/>
      <sheetData sheetId="6">
        <row r="6">
          <cell r="D6">
            <v>2020</v>
          </cell>
          <cell r="H6">
            <v>2019</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theme/theme1.xml><?xml version="1.0" encoding="utf-8"?>
<a:theme xmlns:a="http://schemas.openxmlformats.org/drawingml/2006/main" name="Office Theme">
  <a:themeElements>
    <a:clrScheme name="Custom 1">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E398"/>
  <sheetViews>
    <sheetView tabSelected="1" topLeftCell="B1" zoomScaleNormal="100" zoomScaleSheetLayoutView="100" workbookViewId="0">
      <pane ySplit="3" topLeftCell="A4" activePane="bottomLeft" state="frozen"/>
      <selection pane="bottomLeft" activeCell="B9" sqref="B9"/>
    </sheetView>
  </sheetViews>
  <sheetFormatPr defaultColWidth="0" defaultRowHeight="14.4" zeroHeight="1" x14ac:dyDescent="0.3"/>
  <cols>
    <col min="1" max="1" width="6.88671875" style="34" customWidth="1"/>
    <col min="2" max="2" width="136.77734375" bestFit="1" customWidth="1"/>
    <col min="3" max="3" width="63.5546875" customWidth="1"/>
    <col min="4" max="4" width="13" style="5" customWidth="1"/>
    <col min="5" max="5" width="44" customWidth="1"/>
    <col min="6" max="16384" width="8.88671875" hidden="1"/>
  </cols>
  <sheetData>
    <row r="1" spans="1:5" s="42" customFormat="1" ht="18.600000000000001" customHeight="1" thickBot="1" x14ac:dyDescent="0.35">
      <c r="A1" s="38"/>
      <c r="B1" s="39" t="s">
        <v>133</v>
      </c>
      <c r="C1" s="58"/>
      <c r="D1" s="40"/>
      <c r="E1" s="41"/>
    </row>
    <row r="2" spans="1:5" s="42" customFormat="1" ht="18.600000000000001" customHeight="1" thickBot="1" x14ac:dyDescent="0.35">
      <c r="A2" s="38"/>
      <c r="B2" s="39" t="s">
        <v>19</v>
      </c>
      <c r="C2" s="58"/>
      <c r="D2" s="40"/>
      <c r="E2" s="41"/>
    </row>
    <row r="3" spans="1:5" s="42" customFormat="1" ht="18.600000000000001" customHeight="1" thickBot="1" x14ac:dyDescent="0.35">
      <c r="A3" s="38"/>
      <c r="B3" s="39" t="s">
        <v>131</v>
      </c>
      <c r="C3" s="58"/>
      <c r="D3" s="40"/>
      <c r="E3" s="41"/>
    </row>
    <row r="4" spans="1:5" x14ac:dyDescent="0.3"/>
    <row r="5" spans="1:5" x14ac:dyDescent="0.3">
      <c r="B5" s="46" t="s">
        <v>21</v>
      </c>
      <c r="C5" s="64">
        <f ca="1">TODAY()</f>
        <v>46246</v>
      </c>
    </row>
    <row r="6" spans="1:5" ht="14.25" customHeight="1" x14ac:dyDescent="0.3">
      <c r="B6" s="47" t="s">
        <v>129</v>
      </c>
      <c r="C6" s="47" t="s">
        <v>20</v>
      </c>
    </row>
    <row r="7" spans="1:5" ht="14.25" customHeight="1" x14ac:dyDescent="0.3">
      <c r="B7" s="47"/>
      <c r="C7" s="47"/>
    </row>
    <row r="8" spans="1:5" x14ac:dyDescent="0.3">
      <c r="B8" s="63" t="s">
        <v>0</v>
      </c>
      <c r="C8" s="47"/>
    </row>
    <row r="9" spans="1:5" x14ac:dyDescent="0.3">
      <c r="B9" s="63" t="s">
        <v>134</v>
      </c>
      <c r="C9" s="47"/>
    </row>
    <row r="10" spans="1:5" x14ac:dyDescent="0.3">
      <c r="B10" s="47" t="s">
        <v>20</v>
      </c>
      <c r="C10" s="47"/>
    </row>
    <row r="11" spans="1:5" x14ac:dyDescent="0.3">
      <c r="B11" s="2"/>
      <c r="C11" s="2"/>
    </row>
    <row r="12" spans="1:5" x14ac:dyDescent="0.3">
      <c r="A12" s="55" t="s">
        <v>29</v>
      </c>
      <c r="B12" s="54" t="s">
        <v>132</v>
      </c>
      <c r="C12" s="54"/>
    </row>
    <row r="13" spans="1:5" ht="3.75" customHeight="1" x14ac:dyDescent="0.3">
      <c r="B13" s="3"/>
      <c r="C13" s="3"/>
    </row>
    <row r="14" spans="1:5" x14ac:dyDescent="0.3">
      <c r="B14" s="4" t="s">
        <v>127</v>
      </c>
      <c r="C14" s="4"/>
    </row>
    <row r="15" spans="1:5" ht="8.25" customHeight="1" x14ac:dyDescent="0.3">
      <c r="B15" s="4"/>
      <c r="C15" s="4"/>
    </row>
    <row r="16" spans="1:5" x14ac:dyDescent="0.3">
      <c r="B16" s="4" t="s">
        <v>128</v>
      </c>
      <c r="C16" s="4"/>
    </row>
    <row r="17" spans="1:5" s="25" customFormat="1" ht="16.5" customHeight="1" x14ac:dyDescent="0.3">
      <c r="C17" s="26"/>
      <c r="D17" s="27"/>
    </row>
    <row r="18" spans="1:5" s="32" customFormat="1" x14ac:dyDescent="0.3">
      <c r="B18" s="59" t="s">
        <v>41</v>
      </c>
      <c r="C18" s="59" t="s">
        <v>42</v>
      </c>
      <c r="D18" s="59" t="s">
        <v>6</v>
      </c>
      <c r="E18" s="59" t="s">
        <v>9</v>
      </c>
    </row>
    <row r="19" spans="1:5" s="32" customFormat="1" x14ac:dyDescent="0.3">
      <c r="A19" s="35">
        <v>1</v>
      </c>
      <c r="B19" s="28" t="s">
        <v>31</v>
      </c>
      <c r="C19" s="60"/>
      <c r="D19" s="60"/>
      <c r="E19" s="60"/>
    </row>
    <row r="20" spans="1:5" s="25" customFormat="1" x14ac:dyDescent="0.3">
      <c r="A20" s="37">
        <f>A19+0.1</f>
        <v>1.1000000000000001</v>
      </c>
      <c r="B20" s="26" t="s">
        <v>32</v>
      </c>
      <c r="C20" s="26" t="s">
        <v>43</v>
      </c>
      <c r="D20" s="27" t="s">
        <v>4</v>
      </c>
    </row>
    <row r="21" spans="1:5" s="25" customFormat="1" x14ac:dyDescent="0.3">
      <c r="A21" s="37">
        <f t="shared" ref="A21:A26" si="0">A20+0.1</f>
        <v>1.2000000000000002</v>
      </c>
      <c r="B21" s="26" t="s">
        <v>33</v>
      </c>
      <c r="C21" s="26" t="s">
        <v>44</v>
      </c>
      <c r="D21" s="27" t="s">
        <v>4</v>
      </c>
    </row>
    <row r="22" spans="1:5" s="25" customFormat="1" x14ac:dyDescent="0.3">
      <c r="A22" s="37">
        <f t="shared" si="0"/>
        <v>1.3000000000000003</v>
      </c>
      <c r="B22" s="26" t="s">
        <v>34</v>
      </c>
      <c r="C22" s="26" t="s">
        <v>45</v>
      </c>
      <c r="D22" s="27" t="s">
        <v>4</v>
      </c>
    </row>
    <row r="23" spans="1:5" s="25" customFormat="1" x14ac:dyDescent="0.3">
      <c r="A23" s="37">
        <f t="shared" si="0"/>
        <v>1.4000000000000004</v>
      </c>
      <c r="B23" s="26" t="s">
        <v>35</v>
      </c>
      <c r="C23" s="26" t="s">
        <v>46</v>
      </c>
      <c r="D23" s="27" t="s">
        <v>4</v>
      </c>
    </row>
    <row r="24" spans="1:5" s="25" customFormat="1" x14ac:dyDescent="0.3">
      <c r="A24" s="37">
        <f t="shared" si="0"/>
        <v>1.5000000000000004</v>
      </c>
      <c r="B24" s="26" t="s">
        <v>36</v>
      </c>
      <c r="C24" s="26" t="s">
        <v>47</v>
      </c>
      <c r="D24" s="27" t="s">
        <v>4</v>
      </c>
    </row>
    <row r="25" spans="1:5" s="25" customFormat="1" x14ac:dyDescent="0.3">
      <c r="A25" s="37">
        <f t="shared" si="0"/>
        <v>1.6000000000000005</v>
      </c>
      <c r="B25" s="26" t="s">
        <v>37</v>
      </c>
      <c r="C25" s="26" t="s">
        <v>48</v>
      </c>
      <c r="D25" s="27" t="s">
        <v>4</v>
      </c>
    </row>
    <row r="26" spans="1:5" s="25" customFormat="1" x14ac:dyDescent="0.3">
      <c r="A26" s="37">
        <f t="shared" si="0"/>
        <v>1.7000000000000006</v>
      </c>
      <c r="B26" s="26" t="s">
        <v>38</v>
      </c>
      <c r="C26" s="26" t="s">
        <v>49</v>
      </c>
      <c r="D26" s="27" t="s">
        <v>4</v>
      </c>
    </row>
    <row r="27" spans="1:5" s="25" customFormat="1" x14ac:dyDescent="0.3">
      <c r="A27" s="35"/>
      <c r="B27" s="26"/>
      <c r="C27" s="26"/>
      <c r="D27" s="27"/>
    </row>
    <row r="28" spans="1:5" s="25" customFormat="1" x14ac:dyDescent="0.3">
      <c r="A28" s="35">
        <v>2</v>
      </c>
      <c r="B28" s="28" t="s">
        <v>39</v>
      </c>
      <c r="C28" s="28"/>
      <c r="D28" s="27"/>
    </row>
    <row r="29" spans="1:5" s="25" customFormat="1" x14ac:dyDescent="0.3">
      <c r="A29" s="37">
        <f>A28+0.1</f>
        <v>2.1</v>
      </c>
      <c r="B29" s="30" t="s">
        <v>40</v>
      </c>
      <c r="C29" s="30" t="s">
        <v>50</v>
      </c>
      <c r="D29" s="27" t="s">
        <v>4</v>
      </c>
    </row>
    <row r="30" spans="1:5" s="25" customFormat="1" ht="28.8" x14ac:dyDescent="0.3">
      <c r="A30" s="37">
        <f t="shared" ref="A30:A34" si="1">A29+0.1</f>
        <v>2.2000000000000002</v>
      </c>
      <c r="B30" s="30" t="s">
        <v>51</v>
      </c>
      <c r="C30" s="30" t="s">
        <v>56</v>
      </c>
      <c r="D30" s="27" t="s">
        <v>4</v>
      </c>
    </row>
    <row r="31" spans="1:5" s="25" customFormat="1" ht="28.8" x14ac:dyDescent="0.3">
      <c r="A31" s="37">
        <f t="shared" si="1"/>
        <v>2.3000000000000003</v>
      </c>
      <c r="B31" s="30" t="s">
        <v>52</v>
      </c>
      <c r="C31" s="30" t="s">
        <v>57</v>
      </c>
      <c r="D31" s="27" t="s">
        <v>4</v>
      </c>
    </row>
    <row r="32" spans="1:5" s="25" customFormat="1" ht="28.8" x14ac:dyDescent="0.3">
      <c r="A32" s="37">
        <f t="shared" si="1"/>
        <v>2.4000000000000004</v>
      </c>
      <c r="B32" s="26" t="s">
        <v>53</v>
      </c>
      <c r="C32" s="26" t="s">
        <v>58</v>
      </c>
      <c r="D32" s="27" t="s">
        <v>4</v>
      </c>
      <c r="E32" s="29"/>
    </row>
    <row r="33" spans="1:5" s="25" customFormat="1" x14ac:dyDescent="0.3">
      <c r="A33" s="37">
        <f t="shared" si="1"/>
        <v>2.5000000000000004</v>
      </c>
      <c r="B33" s="26" t="s">
        <v>54</v>
      </c>
      <c r="C33" s="26" t="s">
        <v>59</v>
      </c>
      <c r="D33" s="27" t="s">
        <v>4</v>
      </c>
      <c r="E33" s="29"/>
    </row>
    <row r="34" spans="1:5" s="25" customFormat="1" ht="28.8" x14ac:dyDescent="0.3">
      <c r="A34" s="37">
        <f t="shared" si="1"/>
        <v>2.6000000000000005</v>
      </c>
      <c r="B34" s="26" t="s">
        <v>55</v>
      </c>
      <c r="C34" s="26" t="s">
        <v>60</v>
      </c>
      <c r="D34" s="27" t="s">
        <v>4</v>
      </c>
      <c r="E34" s="29"/>
    </row>
    <row r="35" spans="1:5" s="25" customFormat="1" x14ac:dyDescent="0.3">
      <c r="A35" s="35"/>
      <c r="D35" s="27"/>
    </row>
    <row r="36" spans="1:5" s="25" customFormat="1" x14ac:dyDescent="0.3">
      <c r="A36" s="35">
        <v>3</v>
      </c>
      <c r="B36" s="28" t="s">
        <v>61</v>
      </c>
      <c r="C36" s="28"/>
      <c r="D36" s="27"/>
    </row>
    <row r="37" spans="1:5" s="25" customFormat="1" x14ac:dyDescent="0.3">
      <c r="A37" s="37">
        <f>A36+0.1</f>
        <v>3.1</v>
      </c>
      <c r="B37" s="30" t="s">
        <v>62</v>
      </c>
      <c r="C37" s="30" t="s">
        <v>67</v>
      </c>
      <c r="D37" s="27" t="s">
        <v>4</v>
      </c>
    </row>
    <row r="38" spans="1:5" s="25" customFormat="1" ht="28.8" x14ac:dyDescent="0.3">
      <c r="A38" s="37">
        <f t="shared" ref="A38:A41" si="2">A37+0.1</f>
        <v>3.2</v>
      </c>
      <c r="B38" s="30" t="s">
        <v>63</v>
      </c>
      <c r="C38" s="30" t="s">
        <v>68</v>
      </c>
      <c r="D38" s="27" t="s">
        <v>4</v>
      </c>
    </row>
    <row r="39" spans="1:5" s="25" customFormat="1" ht="28.8" x14ac:dyDescent="0.3">
      <c r="A39" s="37">
        <f t="shared" si="2"/>
        <v>3.3000000000000003</v>
      </c>
      <c r="B39" s="30" t="s">
        <v>64</v>
      </c>
      <c r="C39" s="30" t="s">
        <v>69</v>
      </c>
      <c r="D39" s="27" t="s">
        <v>4</v>
      </c>
    </row>
    <row r="40" spans="1:5" s="25" customFormat="1" ht="28.8" x14ac:dyDescent="0.3">
      <c r="A40" s="37">
        <f t="shared" si="2"/>
        <v>3.4000000000000004</v>
      </c>
      <c r="B40" s="30" t="s">
        <v>65</v>
      </c>
      <c r="C40" s="30" t="s">
        <v>70</v>
      </c>
      <c r="D40" s="27" t="s">
        <v>4</v>
      </c>
    </row>
    <row r="41" spans="1:5" s="25" customFormat="1" x14ac:dyDescent="0.3">
      <c r="A41" s="37">
        <f t="shared" si="2"/>
        <v>3.5000000000000004</v>
      </c>
      <c r="B41" s="30" t="s">
        <v>66</v>
      </c>
      <c r="C41" s="30" t="s">
        <v>71</v>
      </c>
      <c r="D41" s="27" t="s">
        <v>4</v>
      </c>
    </row>
    <row r="42" spans="1:5" s="25" customFormat="1" x14ac:dyDescent="0.3">
      <c r="A42" s="35"/>
      <c r="D42" s="27"/>
    </row>
    <row r="43" spans="1:5" s="25" customFormat="1" x14ac:dyDescent="0.3">
      <c r="A43" s="35">
        <v>4</v>
      </c>
      <c r="B43" s="28" t="s">
        <v>72</v>
      </c>
      <c r="C43" s="28"/>
      <c r="D43" s="27"/>
    </row>
    <row r="44" spans="1:5" s="25" customFormat="1" x14ac:dyDescent="0.3">
      <c r="A44" s="37">
        <f>A43+0.1</f>
        <v>4.0999999999999996</v>
      </c>
      <c r="B44" s="61" t="s">
        <v>73</v>
      </c>
      <c r="C44" s="30" t="s">
        <v>78</v>
      </c>
      <c r="D44" s="27" t="s">
        <v>4</v>
      </c>
    </row>
    <row r="45" spans="1:5" s="25" customFormat="1" x14ac:dyDescent="0.3">
      <c r="A45" s="37">
        <f>A44+0.1</f>
        <v>4.1999999999999993</v>
      </c>
      <c r="B45" s="30" t="s">
        <v>74</v>
      </c>
      <c r="C45" s="30" t="s">
        <v>79</v>
      </c>
      <c r="D45" s="27" t="s">
        <v>4</v>
      </c>
    </row>
    <row r="46" spans="1:5" s="25" customFormat="1" ht="28.8" x14ac:dyDescent="0.3">
      <c r="A46" s="37">
        <f t="shared" ref="A46:A48" si="3">A45+0.1</f>
        <v>4.2999999999999989</v>
      </c>
      <c r="B46" s="30" t="s">
        <v>75</v>
      </c>
      <c r="C46" s="30" t="s">
        <v>80</v>
      </c>
      <c r="D46" s="27" t="s">
        <v>4</v>
      </c>
    </row>
    <row r="47" spans="1:5" s="25" customFormat="1" x14ac:dyDescent="0.3">
      <c r="A47" s="37">
        <f t="shared" si="3"/>
        <v>4.3999999999999986</v>
      </c>
      <c r="B47" s="30" t="s">
        <v>76</v>
      </c>
      <c r="C47" s="30" t="s">
        <v>81</v>
      </c>
      <c r="D47" s="27" t="s">
        <v>4</v>
      </c>
    </row>
    <row r="48" spans="1:5" s="25" customFormat="1" x14ac:dyDescent="0.3">
      <c r="A48" s="37">
        <f t="shared" si="3"/>
        <v>4.4999999999999982</v>
      </c>
      <c r="B48" s="30" t="s">
        <v>77</v>
      </c>
      <c r="C48" s="30" t="s">
        <v>82</v>
      </c>
      <c r="D48" s="27" t="s">
        <v>4</v>
      </c>
    </row>
    <row r="49" spans="1:4" s="25" customFormat="1" x14ac:dyDescent="0.3">
      <c r="A49" s="35"/>
      <c r="D49" s="27"/>
    </row>
    <row r="50" spans="1:4" s="25" customFormat="1" x14ac:dyDescent="0.3">
      <c r="A50" s="35">
        <v>5</v>
      </c>
      <c r="B50" s="28" t="s">
        <v>83</v>
      </c>
      <c r="C50" s="28"/>
      <c r="D50" s="27"/>
    </row>
    <row r="51" spans="1:4" s="25" customFormat="1" x14ac:dyDescent="0.3">
      <c r="A51" s="37">
        <f>A50+0.1</f>
        <v>5.0999999999999996</v>
      </c>
      <c r="B51" s="30" t="s">
        <v>84</v>
      </c>
      <c r="C51" s="30" t="s">
        <v>90</v>
      </c>
      <c r="D51" s="27" t="s">
        <v>4</v>
      </c>
    </row>
    <row r="52" spans="1:4" s="25" customFormat="1" ht="28.8" x14ac:dyDescent="0.3">
      <c r="A52" s="37">
        <v>5.2</v>
      </c>
      <c r="B52" s="26" t="s">
        <v>85</v>
      </c>
      <c r="C52" s="26" t="s">
        <v>91</v>
      </c>
      <c r="D52" s="27" t="s">
        <v>4</v>
      </c>
    </row>
    <row r="53" spans="1:4" s="25" customFormat="1" ht="28.8" x14ac:dyDescent="0.3">
      <c r="A53" s="37">
        <v>5.3</v>
      </c>
      <c r="B53" s="26" t="s">
        <v>86</v>
      </c>
      <c r="C53" s="26" t="s">
        <v>92</v>
      </c>
      <c r="D53" s="27" t="s">
        <v>4</v>
      </c>
    </row>
    <row r="54" spans="1:4" s="25" customFormat="1" x14ac:dyDescent="0.3">
      <c r="A54" s="37">
        <f>A53+0.1</f>
        <v>5.3999999999999995</v>
      </c>
      <c r="B54" s="26" t="s">
        <v>87</v>
      </c>
      <c r="C54" s="26" t="s">
        <v>93</v>
      </c>
      <c r="D54" s="27" t="s">
        <v>4</v>
      </c>
    </row>
    <row r="55" spans="1:4" s="25" customFormat="1" ht="28.8" x14ac:dyDescent="0.3">
      <c r="A55" s="37">
        <f t="shared" ref="A55:A56" si="4">A54+0.1</f>
        <v>5.4999999999999991</v>
      </c>
      <c r="B55" s="26" t="s">
        <v>88</v>
      </c>
      <c r="C55" s="26" t="s">
        <v>94</v>
      </c>
      <c r="D55" s="27" t="s">
        <v>4</v>
      </c>
    </row>
    <row r="56" spans="1:4" s="25" customFormat="1" ht="28.8" x14ac:dyDescent="0.3">
      <c r="A56" s="37">
        <f t="shared" si="4"/>
        <v>5.5999999999999988</v>
      </c>
      <c r="B56" s="26" t="s">
        <v>96</v>
      </c>
      <c r="C56" s="26" t="s">
        <v>95</v>
      </c>
      <c r="D56" s="27" t="s">
        <v>4</v>
      </c>
    </row>
    <row r="57" spans="1:4" s="25" customFormat="1" ht="28.8" x14ac:dyDescent="0.3">
      <c r="A57" s="37">
        <f t="shared" ref="A57:A58" si="5">A56+0.1</f>
        <v>5.6999999999999984</v>
      </c>
      <c r="B57" s="26" t="s">
        <v>97</v>
      </c>
      <c r="C57" s="26" t="s">
        <v>98</v>
      </c>
      <c r="D57" s="27" t="s">
        <v>4</v>
      </c>
    </row>
    <row r="58" spans="1:4" s="25" customFormat="1" x14ac:dyDescent="0.3">
      <c r="A58" s="37">
        <f t="shared" si="5"/>
        <v>5.799999999999998</v>
      </c>
      <c r="B58" s="26" t="s">
        <v>89</v>
      </c>
      <c r="C58" s="26" t="s">
        <v>99</v>
      </c>
      <c r="D58" s="27" t="s">
        <v>4</v>
      </c>
    </row>
    <row r="59" spans="1:4" s="25" customFormat="1" x14ac:dyDescent="0.3">
      <c r="A59" s="35"/>
      <c r="D59" s="27"/>
    </row>
    <row r="60" spans="1:4" s="25" customFormat="1" x14ac:dyDescent="0.3">
      <c r="A60" s="35">
        <v>6</v>
      </c>
      <c r="B60" s="28" t="s">
        <v>100</v>
      </c>
      <c r="C60" s="28"/>
      <c r="D60" s="27"/>
    </row>
    <row r="61" spans="1:4" s="25" customFormat="1" ht="28.8" x14ac:dyDescent="0.3">
      <c r="A61" s="37">
        <v>6.1</v>
      </c>
      <c r="B61" s="26" t="s">
        <v>101</v>
      </c>
      <c r="C61" s="26" t="s">
        <v>104</v>
      </c>
      <c r="D61" s="27" t="s">
        <v>4</v>
      </c>
    </row>
    <row r="62" spans="1:4" s="25" customFormat="1" x14ac:dyDescent="0.3">
      <c r="A62" s="51" t="s">
        <v>22</v>
      </c>
      <c r="B62" s="52" t="s">
        <v>102</v>
      </c>
      <c r="C62" s="52" t="s">
        <v>105</v>
      </c>
      <c r="D62" s="27" t="s">
        <v>4</v>
      </c>
    </row>
    <row r="63" spans="1:4" s="25" customFormat="1" ht="28.8" x14ac:dyDescent="0.3">
      <c r="A63" s="51" t="s">
        <v>23</v>
      </c>
      <c r="B63" s="52" t="s">
        <v>103</v>
      </c>
      <c r="C63" s="52" t="s">
        <v>106</v>
      </c>
      <c r="D63" s="27" t="s">
        <v>4</v>
      </c>
    </row>
    <row r="64" spans="1:4" s="25" customFormat="1" x14ac:dyDescent="0.3">
      <c r="A64" s="37"/>
      <c r="D64" s="27"/>
    </row>
    <row r="65" spans="1:4" s="25" customFormat="1" hidden="1" x14ac:dyDescent="0.3">
      <c r="A65" s="35"/>
      <c r="B65" s="28" t="s">
        <v>12</v>
      </c>
      <c r="C65" s="28"/>
      <c r="D65" s="27"/>
    </row>
    <row r="66" spans="1:4" s="25" customFormat="1" hidden="1" x14ac:dyDescent="0.3">
      <c r="A66" s="35"/>
      <c r="B66" s="26" t="s">
        <v>13</v>
      </c>
      <c r="C66" s="26"/>
      <c r="D66" s="27" t="s">
        <v>4</v>
      </c>
    </row>
    <row r="67" spans="1:4" s="25" customFormat="1" hidden="1" x14ac:dyDescent="0.3">
      <c r="A67" s="35"/>
      <c r="B67" s="26" t="s">
        <v>14</v>
      </c>
      <c r="C67" s="26"/>
      <c r="D67" s="27" t="s">
        <v>4</v>
      </c>
    </row>
    <row r="68" spans="1:4" s="25" customFormat="1" hidden="1" x14ac:dyDescent="0.3">
      <c r="A68" s="35"/>
      <c r="B68" s="26" t="s">
        <v>15</v>
      </c>
      <c r="C68" s="26"/>
      <c r="D68" s="27" t="s">
        <v>4</v>
      </c>
    </row>
    <row r="69" spans="1:4" s="25" customFormat="1" hidden="1" x14ac:dyDescent="0.3">
      <c r="A69" s="35"/>
      <c r="B69" s="26" t="s">
        <v>16</v>
      </c>
      <c r="C69" s="26"/>
      <c r="D69" s="27" t="s">
        <v>4</v>
      </c>
    </row>
    <row r="70" spans="1:4" s="25" customFormat="1" hidden="1" x14ac:dyDescent="0.3">
      <c r="A70" s="35"/>
      <c r="B70" s="26" t="s">
        <v>17</v>
      </c>
      <c r="C70" s="26"/>
      <c r="D70" s="27" t="s">
        <v>4</v>
      </c>
    </row>
    <row r="71" spans="1:4" s="25" customFormat="1" hidden="1" x14ac:dyDescent="0.3">
      <c r="A71" s="35"/>
      <c r="B71" s="26" t="s">
        <v>18</v>
      </c>
      <c r="C71" s="26"/>
      <c r="D71" s="27" t="s">
        <v>4</v>
      </c>
    </row>
    <row r="72" spans="1:4" s="25" customFormat="1" hidden="1" x14ac:dyDescent="0.3">
      <c r="A72" s="35"/>
      <c r="B72" s="26"/>
      <c r="C72" s="26"/>
      <c r="D72" s="27"/>
    </row>
    <row r="73" spans="1:4" s="25" customFormat="1" x14ac:dyDescent="0.3">
      <c r="A73" s="35">
        <v>7</v>
      </c>
      <c r="B73" s="28" t="s">
        <v>107</v>
      </c>
      <c r="C73" s="28"/>
      <c r="D73" s="27"/>
    </row>
    <row r="74" spans="1:4" s="25" customFormat="1" x14ac:dyDescent="0.3">
      <c r="A74" s="37">
        <v>7.1</v>
      </c>
      <c r="B74" s="26" t="s">
        <v>108</v>
      </c>
      <c r="C74" s="26" t="s">
        <v>113</v>
      </c>
      <c r="D74" s="27" t="s">
        <v>4</v>
      </c>
    </row>
    <row r="75" spans="1:4" s="25" customFormat="1" x14ac:dyDescent="0.3">
      <c r="A75" s="37">
        <f>A74+0.1</f>
        <v>7.1999999999999993</v>
      </c>
      <c r="B75" s="26" t="s">
        <v>109</v>
      </c>
      <c r="C75" s="26" t="s">
        <v>114</v>
      </c>
      <c r="D75" s="27" t="s">
        <v>4</v>
      </c>
    </row>
    <row r="76" spans="1:4" s="25" customFormat="1" x14ac:dyDescent="0.3">
      <c r="A76" s="37">
        <f t="shared" ref="A76:A78" si="6">A75+0.1</f>
        <v>7.2999999999999989</v>
      </c>
      <c r="B76" s="26" t="s">
        <v>110</v>
      </c>
      <c r="C76" s="26" t="s">
        <v>115</v>
      </c>
      <c r="D76" s="27" t="s">
        <v>4</v>
      </c>
    </row>
    <row r="77" spans="1:4" s="25" customFormat="1" x14ac:dyDescent="0.3">
      <c r="A77" s="37">
        <f t="shared" si="6"/>
        <v>7.3999999999999986</v>
      </c>
      <c r="B77" s="26" t="s">
        <v>111</v>
      </c>
      <c r="C77" s="26" t="s">
        <v>116</v>
      </c>
      <c r="D77" s="27" t="s">
        <v>4</v>
      </c>
    </row>
    <row r="78" spans="1:4" s="25" customFormat="1" ht="28.8" x14ac:dyDescent="0.3">
      <c r="A78" s="37">
        <f t="shared" si="6"/>
        <v>7.4999999999999982</v>
      </c>
      <c r="B78" s="26" t="s">
        <v>112</v>
      </c>
      <c r="C78" s="26" t="s">
        <v>117</v>
      </c>
      <c r="D78" s="27" t="s">
        <v>4</v>
      </c>
    </row>
    <row r="79" spans="1:4" s="25" customFormat="1" x14ac:dyDescent="0.3">
      <c r="A79" s="35"/>
      <c r="D79" s="27"/>
    </row>
    <row r="80" spans="1:4" s="25" customFormat="1" ht="14.25" customHeight="1" x14ac:dyDescent="0.3">
      <c r="A80" s="35">
        <v>8</v>
      </c>
      <c r="B80" s="28" t="s">
        <v>118</v>
      </c>
      <c r="C80" s="28"/>
      <c r="D80" s="27"/>
    </row>
    <row r="81" spans="1:5" s="25" customFormat="1" ht="28.8" x14ac:dyDescent="0.3">
      <c r="A81" s="37">
        <v>8.1</v>
      </c>
      <c r="B81" s="26" t="s">
        <v>119</v>
      </c>
      <c r="C81" s="26" t="s">
        <v>122</v>
      </c>
      <c r="D81" s="27" t="s">
        <v>4</v>
      </c>
    </row>
    <row r="82" spans="1:5" s="25" customFormat="1" x14ac:dyDescent="0.3">
      <c r="A82" s="37">
        <f>A81+0.1</f>
        <v>8.1999999999999993</v>
      </c>
      <c r="B82" s="26" t="s">
        <v>120</v>
      </c>
      <c r="C82" s="26" t="s">
        <v>123</v>
      </c>
      <c r="D82" s="27" t="s">
        <v>4</v>
      </c>
      <c r="E82" s="36"/>
    </row>
    <row r="83" spans="1:5" s="25" customFormat="1" x14ac:dyDescent="0.3">
      <c r="A83" s="37">
        <f>A82+0.1</f>
        <v>8.2999999999999989</v>
      </c>
      <c r="B83" s="26" t="s">
        <v>121</v>
      </c>
      <c r="C83" s="26" t="s">
        <v>124</v>
      </c>
      <c r="D83" s="27" t="s">
        <v>4</v>
      </c>
    </row>
    <row r="84" spans="1:5" s="25" customFormat="1" x14ac:dyDescent="0.3">
      <c r="A84" s="62"/>
      <c r="B84" s="32"/>
      <c r="C84" s="32"/>
    </row>
    <row r="85" spans="1:5" s="32" customFormat="1" ht="14.4" customHeight="1" x14ac:dyDescent="0.3">
      <c r="A85" s="57">
        <v>9</v>
      </c>
      <c r="B85" s="56" t="s">
        <v>30</v>
      </c>
      <c r="C85" s="56"/>
      <c r="D85" s="45"/>
    </row>
    <row r="86" spans="1:5" s="44" customFormat="1" x14ac:dyDescent="0.3">
      <c r="A86" s="37">
        <f>9+0.1</f>
        <v>9.1</v>
      </c>
      <c r="B86" s="53" t="s">
        <v>24</v>
      </c>
      <c r="C86" s="53"/>
      <c r="D86" s="43" t="s">
        <v>4</v>
      </c>
      <c r="E86" s="25"/>
    </row>
    <row r="87" spans="1:5" s="25" customFormat="1" x14ac:dyDescent="0.3">
      <c r="A87" s="50">
        <f>A86+0.1</f>
        <v>9.1999999999999993</v>
      </c>
      <c r="B87" s="26" t="s">
        <v>25</v>
      </c>
      <c r="C87" s="26"/>
      <c r="D87" s="27" t="s">
        <v>4</v>
      </c>
    </row>
    <row r="88" spans="1:5" s="25" customFormat="1" x14ac:dyDescent="0.3">
      <c r="A88" s="37">
        <f>A87+0.1</f>
        <v>9.2999999999999989</v>
      </c>
      <c r="B88" s="26" t="s">
        <v>26</v>
      </c>
      <c r="C88" s="26"/>
      <c r="D88" s="27" t="s">
        <v>4</v>
      </c>
    </row>
    <row r="89" spans="1:5" s="25" customFormat="1" x14ac:dyDescent="0.3">
      <c r="A89" s="37">
        <f>A88+0.1</f>
        <v>9.3999999999999986</v>
      </c>
      <c r="B89" s="26" t="s">
        <v>27</v>
      </c>
      <c r="C89" s="26"/>
      <c r="D89" s="27" t="s">
        <v>4</v>
      </c>
    </row>
    <row r="90" spans="1:5" s="25" customFormat="1" x14ac:dyDescent="0.3">
      <c r="A90" s="37">
        <f>A89+0.1</f>
        <v>9.4999999999999982</v>
      </c>
      <c r="B90" s="26" t="s">
        <v>28</v>
      </c>
      <c r="C90" s="26"/>
      <c r="D90" s="27" t="s">
        <v>4</v>
      </c>
    </row>
    <row r="91" spans="1:5" s="25" customFormat="1" x14ac:dyDescent="0.3">
      <c r="A91" s="37"/>
      <c r="B91" s="26"/>
      <c r="C91" s="26"/>
      <c r="D91" s="27"/>
    </row>
    <row r="92" spans="1:5" s="25" customFormat="1" x14ac:dyDescent="0.3">
      <c r="A92" s="37"/>
      <c r="B92" s="26"/>
      <c r="C92" s="26"/>
      <c r="D92" s="27"/>
    </row>
    <row r="93" spans="1:5" s="25" customFormat="1" ht="20.100000000000001" customHeight="1" x14ac:dyDescent="0.3">
      <c r="A93" s="35"/>
      <c r="B93" s="65" t="s">
        <v>130</v>
      </c>
      <c r="C93" s="65"/>
      <c r="D93" s="66"/>
      <c r="E93" s="66"/>
    </row>
    <row r="94" spans="1:5" s="25" customFormat="1" x14ac:dyDescent="0.3">
      <c r="A94" s="35"/>
      <c r="D94" s="27"/>
    </row>
    <row r="95" spans="1:5" s="25" customFormat="1" x14ac:dyDescent="0.3">
      <c r="A95" s="35"/>
      <c r="D95" s="27"/>
    </row>
    <row r="96" spans="1:5" s="25" customFormat="1" x14ac:dyDescent="0.3">
      <c r="A96" s="35"/>
      <c r="B96" s="33" t="s">
        <v>1</v>
      </c>
      <c r="C96" s="26"/>
      <c r="D96" s="27"/>
    </row>
    <row r="97" spans="1:4" s="25" customFormat="1" x14ac:dyDescent="0.3">
      <c r="A97" s="35"/>
      <c r="B97" s="26"/>
      <c r="C97" s="26"/>
      <c r="D97" s="27"/>
    </row>
    <row r="98" spans="1:4" s="25" customFormat="1" x14ac:dyDescent="0.3">
      <c r="A98" s="35"/>
      <c r="B98" s="26"/>
      <c r="C98" s="26"/>
      <c r="D98" s="27"/>
    </row>
    <row r="99" spans="1:4" s="25" customFormat="1" x14ac:dyDescent="0.3">
      <c r="A99" s="35"/>
      <c r="B99" s="49" t="s">
        <v>125</v>
      </c>
      <c r="C99" s="49"/>
      <c r="D99" s="27"/>
    </row>
    <row r="100" spans="1:4" s="25" customFormat="1" x14ac:dyDescent="0.3">
      <c r="A100" s="35"/>
      <c r="B100" s="48" t="s">
        <v>126</v>
      </c>
      <c r="C100" s="48"/>
      <c r="D100" s="27"/>
    </row>
    <row r="101" spans="1:4" s="25" customFormat="1" x14ac:dyDescent="0.3">
      <c r="A101" s="35"/>
      <c r="B101" s="26"/>
      <c r="C101" s="26"/>
      <c r="D101" s="27"/>
    </row>
    <row r="102" spans="1:4" s="25" customFormat="1" x14ac:dyDescent="0.3">
      <c r="A102" s="35"/>
      <c r="B102" s="31" t="s">
        <v>2</v>
      </c>
      <c r="C102" s="31"/>
      <c r="D102" s="27"/>
    </row>
    <row r="103" spans="1:4" s="25" customFormat="1" x14ac:dyDescent="0.3">
      <c r="A103" s="35"/>
      <c r="B103" s="33" t="s">
        <v>10</v>
      </c>
      <c r="C103" s="33"/>
      <c r="D103" s="27"/>
    </row>
    <row r="104" spans="1:4" s="25" customFormat="1" x14ac:dyDescent="0.3">
      <c r="A104" s="35"/>
      <c r="B104" s="26" t="s">
        <v>11</v>
      </c>
      <c r="C104" s="26"/>
      <c r="D104" s="27"/>
    </row>
    <row r="105" spans="1:4" s="25" customFormat="1" x14ac:dyDescent="0.3">
      <c r="A105" s="35"/>
      <c r="B105" s="48" t="s">
        <v>20</v>
      </c>
      <c r="C105" s="48"/>
      <c r="D105" s="27"/>
    </row>
    <row r="106" spans="1:4" s="25" customFormat="1" x14ac:dyDescent="0.3">
      <c r="A106" s="35"/>
      <c r="D106" s="27"/>
    </row>
    <row r="107" spans="1:4" s="25" customFormat="1" x14ac:dyDescent="0.3">
      <c r="A107" s="35"/>
      <c r="D107" s="27"/>
    </row>
    <row r="108" spans="1:4" s="25" customFormat="1" x14ac:dyDescent="0.3">
      <c r="A108" s="35"/>
      <c r="D108" s="27"/>
    </row>
    <row r="109" spans="1:4" s="25" customFormat="1" x14ac:dyDescent="0.3">
      <c r="A109" s="35"/>
      <c r="D109" s="27"/>
    </row>
    <row r="110" spans="1:4" s="25" customFormat="1" x14ac:dyDescent="0.3">
      <c r="A110" s="35"/>
      <c r="D110" s="27"/>
    </row>
    <row r="111" spans="1:4" s="25" customFormat="1" x14ac:dyDescent="0.3">
      <c r="A111" s="35"/>
      <c r="D111" s="27"/>
    </row>
    <row r="112" spans="1:4" s="25" customFormat="1" x14ac:dyDescent="0.3">
      <c r="A112" s="35"/>
      <c r="D112" s="27"/>
    </row>
    <row r="113" spans="1:4" s="25" customFormat="1" x14ac:dyDescent="0.3">
      <c r="A113" s="35"/>
      <c r="D113" s="27"/>
    </row>
    <row r="114" spans="1:4" s="25" customFormat="1" x14ac:dyDescent="0.3">
      <c r="A114" s="35"/>
      <c r="D114" s="27"/>
    </row>
    <row r="115" spans="1:4" s="25" customFormat="1" x14ac:dyDescent="0.3">
      <c r="A115" s="35"/>
      <c r="D115" s="27"/>
    </row>
    <row r="116" spans="1:4" s="25" customFormat="1" x14ac:dyDescent="0.3">
      <c r="A116" s="35"/>
      <c r="D116" s="27"/>
    </row>
    <row r="117" spans="1:4" s="25" customFormat="1" x14ac:dyDescent="0.3">
      <c r="A117" s="35"/>
      <c r="D117" s="27"/>
    </row>
    <row r="118" spans="1:4" s="25" customFormat="1" x14ac:dyDescent="0.3">
      <c r="A118" s="35"/>
      <c r="D118" s="27"/>
    </row>
    <row r="119" spans="1:4" s="25" customFormat="1" x14ac:dyDescent="0.3">
      <c r="A119" s="35"/>
      <c r="D119" s="27"/>
    </row>
    <row r="120" spans="1:4" s="25" customFormat="1" x14ac:dyDescent="0.3">
      <c r="A120" s="35"/>
      <c r="D120" s="27"/>
    </row>
    <row r="121" spans="1:4" s="25" customFormat="1" x14ac:dyDescent="0.3">
      <c r="A121" s="35"/>
      <c r="D121" s="27"/>
    </row>
    <row r="122" spans="1:4" s="25" customFormat="1" x14ac:dyDescent="0.3">
      <c r="A122" s="35"/>
      <c r="D122" s="27"/>
    </row>
    <row r="123" spans="1:4" s="25" customFormat="1" x14ac:dyDescent="0.3">
      <c r="A123" s="35"/>
      <c r="D123" s="27"/>
    </row>
    <row r="124" spans="1:4" s="25" customFormat="1" x14ac:dyDescent="0.3">
      <c r="A124" s="35"/>
      <c r="D124" s="27"/>
    </row>
    <row r="125" spans="1:4" s="25" customFormat="1" x14ac:dyDescent="0.3">
      <c r="A125" s="35"/>
      <c r="D125" s="27"/>
    </row>
    <row r="126" spans="1:4" s="25" customFormat="1" x14ac:dyDescent="0.3">
      <c r="A126" s="35"/>
      <c r="D126" s="27"/>
    </row>
    <row r="127" spans="1:4" s="25" customFormat="1" x14ac:dyDescent="0.3">
      <c r="A127" s="35"/>
      <c r="D127" s="27"/>
    </row>
    <row r="128" spans="1:4" s="25" customFormat="1" x14ac:dyDescent="0.3">
      <c r="A128" s="35"/>
      <c r="D128" s="27"/>
    </row>
    <row r="129" spans="1:4" s="25" customFormat="1" x14ac:dyDescent="0.3">
      <c r="A129" s="35"/>
      <c r="D129" s="27"/>
    </row>
    <row r="130" spans="1:4" s="25" customFormat="1" x14ac:dyDescent="0.3">
      <c r="A130" s="35"/>
      <c r="D130" s="27"/>
    </row>
    <row r="131" spans="1:4" s="25" customFormat="1" x14ac:dyDescent="0.3">
      <c r="A131" s="35"/>
      <c r="D131" s="27"/>
    </row>
    <row r="132" spans="1:4" s="25" customFormat="1" x14ac:dyDescent="0.3">
      <c r="A132" s="35"/>
      <c r="D132" s="27"/>
    </row>
    <row r="133" spans="1:4" s="25" customFormat="1" x14ac:dyDescent="0.3">
      <c r="A133" s="35"/>
      <c r="D133" s="27"/>
    </row>
    <row r="134" spans="1:4" s="25" customFormat="1" x14ac:dyDescent="0.3">
      <c r="A134" s="35"/>
      <c r="D134" s="27"/>
    </row>
    <row r="135" spans="1:4" s="25" customFormat="1" x14ac:dyDescent="0.3">
      <c r="A135" s="35"/>
      <c r="D135" s="27"/>
    </row>
    <row r="136" spans="1:4" s="25" customFormat="1" x14ac:dyDescent="0.3">
      <c r="A136" s="35"/>
      <c r="D136" s="27"/>
    </row>
    <row r="137" spans="1:4" s="25" customFormat="1" x14ac:dyDescent="0.3">
      <c r="A137" s="35"/>
      <c r="D137" s="27"/>
    </row>
    <row r="138" spans="1:4" s="25" customFormat="1" x14ac:dyDescent="0.3">
      <c r="A138" s="35"/>
      <c r="D138" s="27"/>
    </row>
    <row r="139" spans="1:4" s="25" customFormat="1" x14ac:dyDescent="0.3">
      <c r="A139" s="35"/>
      <c r="D139" s="27"/>
    </row>
    <row r="140" spans="1:4" s="25" customFormat="1" x14ac:dyDescent="0.3">
      <c r="A140" s="35"/>
      <c r="D140" s="27"/>
    </row>
    <row r="141" spans="1:4" s="25" customFormat="1" x14ac:dyDescent="0.3">
      <c r="A141" s="35"/>
      <c r="D141" s="27"/>
    </row>
    <row r="142" spans="1:4" s="25" customFormat="1" x14ac:dyDescent="0.3">
      <c r="A142" s="35"/>
      <c r="D142" s="27"/>
    </row>
    <row r="143" spans="1:4" s="25" customFormat="1" x14ac:dyDescent="0.3">
      <c r="A143" s="35"/>
      <c r="D143" s="27"/>
    </row>
    <row r="144" spans="1:4" s="25" customFormat="1" x14ac:dyDescent="0.3">
      <c r="A144" s="35"/>
      <c r="D144" s="27"/>
    </row>
    <row r="145" spans="1:4" s="25" customFormat="1" x14ac:dyDescent="0.3">
      <c r="A145" s="35"/>
      <c r="D145" s="27"/>
    </row>
    <row r="146" spans="1:4" s="25" customFormat="1" x14ac:dyDescent="0.3">
      <c r="A146" s="35"/>
      <c r="D146" s="27"/>
    </row>
    <row r="147" spans="1:4" s="25" customFormat="1" x14ac:dyDescent="0.3">
      <c r="A147" s="35"/>
      <c r="D147" s="27"/>
    </row>
    <row r="148" spans="1:4" s="25" customFormat="1" x14ac:dyDescent="0.3">
      <c r="A148" s="35"/>
      <c r="D148" s="27"/>
    </row>
    <row r="149" spans="1:4" s="25" customFormat="1" x14ac:dyDescent="0.3">
      <c r="A149" s="35"/>
      <c r="D149" s="27"/>
    </row>
    <row r="150" spans="1:4" s="25" customFormat="1" x14ac:dyDescent="0.3">
      <c r="A150" s="35"/>
      <c r="D150" s="27"/>
    </row>
    <row r="151" spans="1:4" s="25" customFormat="1" x14ac:dyDescent="0.3">
      <c r="A151" s="35"/>
      <c r="D151" s="27"/>
    </row>
    <row r="152" spans="1:4" x14ac:dyDescent="0.3"/>
    <row r="153" spans="1:4" x14ac:dyDescent="0.3"/>
    <row r="154" spans="1:4" x14ac:dyDescent="0.3"/>
    <row r="155" spans="1:4" x14ac:dyDescent="0.3"/>
    <row r="156" spans="1:4" x14ac:dyDescent="0.3"/>
    <row r="157" spans="1:4" x14ac:dyDescent="0.3"/>
    <row r="158" spans="1:4" x14ac:dyDescent="0.3"/>
    <row r="159" spans="1:4" x14ac:dyDescent="0.3"/>
    <row r="160" spans="1:4"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sheetData>
  <mergeCells count="1">
    <mergeCell ref="B93:E93"/>
  </mergeCells>
  <conditionalFormatting sqref="D1:D4 C5 D94:D1048576">
    <cfRule type="containsText" dxfId="1" priority="10" operator="containsText" text="Pending">
      <formula>NOT(ISERROR(SEARCH("Pending",C1)))</formula>
    </cfRule>
  </conditionalFormatting>
  <conditionalFormatting sqref="D6:D92">
    <cfRule type="containsText" dxfId="0" priority="1" operator="containsText" text="Pending">
      <formula>NOT(ISERROR(SEARCH("Pending",D6)))</formula>
    </cfRule>
  </conditionalFormatting>
  <dataValidations count="1">
    <dataValidation type="list" allowBlank="1" showInputMessage="1" showErrorMessage="1" sqref="D29:D34 D37:D41 D44:D48 D66:D71 D51:D58 D61:D63 D20:D27 D86:D92 D74:D78 D81:D84" xr:uid="{00000000-0002-0000-0000-000000000000}">
      <formula1>"Provided, Pending, Not applicable"</formula1>
    </dataValidation>
  </dataValidations>
  <hyperlinks>
    <hyperlink ref="B44" location="'PPE &amp; Intangible Assets'!A1" display="a)      PPE and intangible assets detailed schedule - PLEASE CLICHK HERE" xr:uid="{00000000-0004-0000-0000-000001000000}"/>
    <hyperlink ref="B86" location="'Payroll Register'!A1" display="a)      Please completely fill the Payroll Register - CLICK HERE" xr:uid="{CE195340-8749-41EA-833F-5725860E9DE3}"/>
  </hyperlinks>
  <pageMargins left="0.7" right="0.7" top="1" bottom="0.75" header="0.3" footer="0.3"/>
  <pageSetup scale="71" orientation="portrait" r:id="rId1"/>
  <headerFooter>
    <oddHeader xml:space="preserve">&amp;L&amp;G
</oddHeader>
    <oddFooter>&amp;L&amp;F&amp;C&amp;"Calibri,Bold"&amp;U&amp;P</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5"/>
  <sheetViews>
    <sheetView showGridLines="0" zoomScaleNormal="100" zoomScaleSheetLayoutView="100" workbookViewId="0">
      <selection activeCell="C10" sqref="C10"/>
    </sheetView>
  </sheetViews>
  <sheetFormatPr defaultColWidth="0" defaultRowHeight="13.8" zeroHeight="1" x14ac:dyDescent="0.3"/>
  <cols>
    <col min="1" max="1" width="1.33203125" style="6" customWidth="1"/>
    <col min="2" max="2" width="17.109375" style="6" customWidth="1"/>
    <col min="3" max="13" width="8.88671875" style="6" customWidth="1"/>
    <col min="14" max="14" width="4.33203125" style="6" customWidth="1"/>
    <col min="15" max="16384" width="8.88671875" hidden="1"/>
  </cols>
  <sheetData>
    <row r="1" spans="1:14" ht="14.4" thickBot="1" x14ac:dyDescent="0.35">
      <c r="A1" s="10"/>
      <c r="B1" s="10"/>
      <c r="C1" s="10"/>
      <c r="D1" s="10"/>
      <c r="E1" s="10"/>
      <c r="F1" s="10"/>
      <c r="G1" s="10"/>
      <c r="H1" s="10"/>
      <c r="I1" s="10"/>
      <c r="J1" s="10"/>
      <c r="K1" s="10"/>
      <c r="L1" s="10"/>
      <c r="M1" s="10"/>
      <c r="N1" s="10"/>
    </row>
    <row r="2" spans="1:14" s="1" customFormat="1" ht="19.2" customHeight="1" thickBot="1" x14ac:dyDescent="0.35">
      <c r="A2" s="11"/>
      <c r="B2" s="17" t="str">
        <f>'Interim Audit Requirements'!B1</f>
        <v>Client :  KHAZAEN ALTAMKEEN For Owner Association Management Services -Project Name - Joya Blanca Residences</v>
      </c>
      <c r="C2" s="18"/>
      <c r="D2" s="18"/>
      <c r="E2" s="18"/>
      <c r="F2" s="18"/>
      <c r="G2" s="18"/>
      <c r="H2" s="18"/>
      <c r="I2" s="18"/>
      <c r="J2" s="18"/>
      <c r="K2" s="18"/>
      <c r="L2" s="18"/>
      <c r="M2" s="19"/>
      <c r="N2" s="11"/>
    </row>
    <row r="3" spans="1:14" s="1" customFormat="1" ht="19.2" customHeight="1" thickBot="1" x14ac:dyDescent="0.35">
      <c r="A3" s="11"/>
      <c r="B3" s="16" t="str">
        <f>'Interim Audit Requirements'!B2</f>
        <v>Document : Audit Requirement List / Audit Documents Checklist</v>
      </c>
      <c r="C3" s="20"/>
      <c r="D3" s="20"/>
      <c r="E3" s="20"/>
      <c r="F3" s="20"/>
      <c r="G3" s="20"/>
      <c r="H3" s="20"/>
      <c r="I3" s="20"/>
      <c r="J3" s="20"/>
      <c r="K3" s="20"/>
      <c r="L3" s="20"/>
      <c r="M3" s="21"/>
      <c r="N3" s="11"/>
    </row>
    <row r="4" spans="1:14" s="1" customFormat="1" ht="19.2" customHeight="1" thickBot="1" x14ac:dyDescent="0.35">
      <c r="A4" s="11"/>
      <c r="B4" s="22" t="str">
        <f>'Interim Audit Requirements'!B3</f>
        <v>Audit Period : 01-01-2024 to 30-06-2024</v>
      </c>
      <c r="C4" s="23"/>
      <c r="D4" s="23"/>
      <c r="E4" s="23"/>
      <c r="F4" s="23"/>
      <c r="G4" s="23"/>
      <c r="H4" s="23"/>
      <c r="I4" s="23"/>
      <c r="J4" s="23"/>
      <c r="K4" s="23"/>
      <c r="L4" s="23"/>
      <c r="M4" s="24"/>
      <c r="N4" s="11"/>
    </row>
    <row r="5" spans="1:14" x14ac:dyDescent="0.3">
      <c r="A5" s="10"/>
      <c r="B5" s="10"/>
      <c r="C5" s="10"/>
      <c r="D5" s="10"/>
      <c r="E5" s="10"/>
      <c r="F5" s="10"/>
      <c r="G5" s="10"/>
      <c r="H5" s="10"/>
      <c r="I5" s="10"/>
      <c r="J5" s="10"/>
      <c r="K5" s="10"/>
      <c r="L5" s="10"/>
      <c r="M5" s="10"/>
      <c r="N5" s="10"/>
    </row>
    <row r="6" spans="1:14" x14ac:dyDescent="0.3">
      <c r="A6" s="10"/>
      <c r="B6" s="10"/>
      <c r="C6" s="10"/>
      <c r="D6" s="10"/>
      <c r="E6" s="10"/>
      <c r="F6" s="10"/>
      <c r="G6" s="10"/>
      <c r="H6" s="10"/>
      <c r="I6" s="10"/>
      <c r="J6" s="10"/>
      <c r="K6" s="10"/>
      <c r="L6" s="10"/>
      <c r="M6" s="10"/>
      <c r="N6" s="10"/>
    </row>
    <row r="7" spans="1:14" x14ac:dyDescent="0.3">
      <c r="A7" s="10"/>
      <c r="B7" s="7" t="s">
        <v>8</v>
      </c>
      <c r="C7" s="10"/>
      <c r="D7" s="10"/>
      <c r="E7" s="10"/>
      <c r="F7" s="10"/>
      <c r="G7" s="10"/>
      <c r="H7" s="10"/>
      <c r="I7" s="10"/>
      <c r="J7" s="10"/>
      <c r="K7" s="10"/>
      <c r="L7" s="10"/>
      <c r="M7" s="10"/>
      <c r="N7" s="10"/>
    </row>
    <row r="8" spans="1:14" x14ac:dyDescent="0.3">
      <c r="A8" s="10"/>
      <c r="B8" s="10"/>
      <c r="C8" s="10"/>
      <c r="D8" s="10"/>
      <c r="E8" s="10"/>
      <c r="F8" s="10"/>
      <c r="G8" s="10"/>
      <c r="H8" s="10"/>
      <c r="I8" s="10"/>
      <c r="J8" s="10"/>
      <c r="K8" s="10"/>
      <c r="L8" s="10"/>
      <c r="M8" s="10"/>
      <c r="N8" s="10"/>
    </row>
    <row r="9" spans="1:14" x14ac:dyDescent="0.3">
      <c r="A9" s="10"/>
      <c r="B9" s="12" t="s">
        <v>4</v>
      </c>
      <c r="C9" s="13">
        <f>COUNTIF('Interim Audit Requirements'!D20:D84,"Pending")</f>
        <v>48</v>
      </c>
      <c r="D9" s="10"/>
      <c r="E9" s="10"/>
      <c r="F9" s="10"/>
      <c r="G9" s="10"/>
      <c r="H9" s="10"/>
      <c r="I9" s="10"/>
      <c r="J9" s="10"/>
      <c r="K9" s="10"/>
      <c r="L9" s="10"/>
      <c r="M9" s="10"/>
      <c r="N9" s="10"/>
    </row>
    <row r="10" spans="1:14" x14ac:dyDescent="0.3">
      <c r="A10" s="10"/>
      <c r="B10" s="14" t="s">
        <v>3</v>
      </c>
      <c r="C10" s="15">
        <f>COUNTIF('Interim Audit Requirements'!D20:D84,"Provided")</f>
        <v>0</v>
      </c>
      <c r="D10" s="10"/>
      <c r="E10" s="10"/>
      <c r="F10" s="10"/>
      <c r="G10" s="10"/>
      <c r="H10" s="10"/>
      <c r="I10" s="10"/>
      <c r="J10" s="10"/>
      <c r="K10" s="10"/>
      <c r="L10" s="10"/>
      <c r="M10" s="10"/>
      <c r="N10" s="10"/>
    </row>
    <row r="11" spans="1:14" x14ac:dyDescent="0.3">
      <c r="A11" s="10"/>
      <c r="B11" s="14" t="s">
        <v>5</v>
      </c>
      <c r="C11" s="15">
        <f>COUNTIF('Interim Audit Requirements'!D20:D84,"Not applicable")</f>
        <v>0</v>
      </c>
      <c r="D11" s="10"/>
      <c r="E11" s="10"/>
      <c r="F11" s="10"/>
      <c r="G11" s="10"/>
      <c r="H11" s="10"/>
      <c r="I11" s="10"/>
      <c r="J11" s="10"/>
      <c r="K11" s="10"/>
      <c r="L11" s="10"/>
      <c r="M11" s="10"/>
      <c r="N11" s="10"/>
    </row>
    <row r="12" spans="1:14" x14ac:dyDescent="0.3">
      <c r="A12" s="10"/>
      <c r="B12" s="8" t="s">
        <v>7</v>
      </c>
      <c r="C12" s="9">
        <f>SUM(C9:C11)</f>
        <v>48</v>
      </c>
      <c r="D12" s="10"/>
      <c r="E12" s="10"/>
      <c r="F12" s="10"/>
      <c r="G12" s="10"/>
      <c r="H12" s="10"/>
      <c r="I12" s="10"/>
      <c r="J12" s="10"/>
      <c r="K12" s="10"/>
      <c r="L12" s="10"/>
      <c r="M12" s="10"/>
      <c r="N12" s="10"/>
    </row>
    <row r="13" spans="1:14" x14ac:dyDescent="0.3">
      <c r="A13" s="10"/>
      <c r="B13" s="10"/>
      <c r="C13" s="10"/>
      <c r="D13" s="10"/>
      <c r="E13" s="10"/>
      <c r="F13" s="10"/>
      <c r="G13" s="10"/>
      <c r="H13" s="10"/>
      <c r="I13" s="10"/>
      <c r="J13" s="10"/>
      <c r="K13" s="10"/>
      <c r="L13" s="10"/>
      <c r="M13" s="10"/>
      <c r="N13" s="10"/>
    </row>
    <row r="14" spans="1:14" x14ac:dyDescent="0.3">
      <c r="A14" s="10"/>
      <c r="B14" s="10"/>
      <c r="C14" s="10"/>
      <c r="D14" s="10"/>
      <c r="E14" s="10"/>
      <c r="F14" s="10"/>
      <c r="G14" s="10"/>
      <c r="H14" s="10"/>
      <c r="I14" s="10"/>
      <c r="J14" s="10"/>
      <c r="K14" s="10"/>
      <c r="L14" s="10"/>
      <c r="M14" s="10"/>
      <c r="N14" s="10"/>
    </row>
    <row r="15" spans="1:14" x14ac:dyDescent="0.3">
      <c r="A15" s="10"/>
      <c r="B15" s="10"/>
      <c r="C15" s="10"/>
      <c r="D15" s="10"/>
      <c r="E15" s="10"/>
      <c r="F15" s="10"/>
      <c r="G15" s="10"/>
      <c r="H15" s="10"/>
      <c r="I15" s="10"/>
      <c r="J15" s="10"/>
      <c r="K15" s="10"/>
      <c r="L15" s="10"/>
      <c r="M15" s="10"/>
      <c r="N15" s="10"/>
    </row>
    <row r="16" spans="1:14" x14ac:dyDescent="0.3">
      <c r="A16" s="10"/>
      <c r="B16" s="10"/>
      <c r="C16" s="10"/>
      <c r="D16" s="10"/>
      <c r="E16" s="10"/>
      <c r="F16" s="10"/>
      <c r="G16" s="10"/>
      <c r="H16" s="10"/>
      <c r="I16" s="10"/>
      <c r="J16" s="10"/>
      <c r="K16" s="10"/>
      <c r="L16" s="10"/>
      <c r="M16" s="10"/>
      <c r="N16" s="10"/>
    </row>
    <row r="17" spans="1:14" x14ac:dyDescent="0.3">
      <c r="A17" s="10"/>
      <c r="B17" s="10"/>
      <c r="C17" s="10"/>
      <c r="D17" s="10"/>
      <c r="E17" s="10"/>
      <c r="F17" s="10"/>
      <c r="G17" s="10"/>
      <c r="H17" s="10"/>
      <c r="I17" s="10"/>
      <c r="J17" s="10"/>
      <c r="K17" s="10"/>
      <c r="L17" s="10"/>
      <c r="M17" s="10"/>
      <c r="N17" s="10"/>
    </row>
    <row r="18" spans="1:14" x14ac:dyDescent="0.3">
      <c r="A18" s="10"/>
      <c r="B18" s="10"/>
      <c r="C18" s="10"/>
      <c r="D18" s="10"/>
      <c r="E18" s="10"/>
      <c r="F18" s="10"/>
      <c r="G18" s="10"/>
      <c r="H18" s="10"/>
      <c r="I18" s="10"/>
      <c r="J18" s="10"/>
      <c r="K18" s="10"/>
      <c r="L18" s="10"/>
      <c r="M18" s="10"/>
      <c r="N18" s="10"/>
    </row>
    <row r="19" spans="1:14" x14ac:dyDescent="0.3">
      <c r="A19" s="10"/>
      <c r="B19" s="10"/>
      <c r="C19" s="10"/>
      <c r="D19" s="10"/>
      <c r="E19" s="10"/>
      <c r="F19" s="10"/>
      <c r="G19" s="10"/>
      <c r="H19" s="10"/>
      <c r="I19" s="10"/>
      <c r="J19" s="10"/>
      <c r="K19" s="10"/>
      <c r="L19" s="10"/>
      <c r="M19" s="10"/>
      <c r="N19" s="10"/>
    </row>
    <row r="20" spans="1:14" x14ac:dyDescent="0.3">
      <c r="A20" s="10"/>
      <c r="B20" s="10"/>
      <c r="C20" s="10"/>
      <c r="D20" s="10"/>
      <c r="E20" s="10"/>
      <c r="F20" s="10"/>
      <c r="G20" s="10"/>
      <c r="H20" s="10"/>
      <c r="I20" s="10"/>
      <c r="J20" s="10"/>
      <c r="K20" s="10"/>
      <c r="L20" s="10"/>
      <c r="M20" s="10"/>
      <c r="N20" s="10"/>
    </row>
    <row r="21" spans="1:14" x14ac:dyDescent="0.3">
      <c r="A21" s="10"/>
      <c r="B21" s="10"/>
      <c r="C21" s="10"/>
      <c r="D21" s="10"/>
      <c r="E21" s="10"/>
      <c r="F21" s="10"/>
      <c r="G21" s="10"/>
      <c r="H21" s="10"/>
      <c r="I21" s="10"/>
      <c r="J21" s="10"/>
      <c r="K21" s="10"/>
      <c r="L21" s="10"/>
      <c r="M21" s="10"/>
      <c r="N21" s="10"/>
    </row>
    <row r="22" spans="1:14" x14ac:dyDescent="0.3">
      <c r="A22" s="10"/>
      <c r="B22" s="10"/>
      <c r="C22" s="10"/>
      <c r="D22" s="10"/>
      <c r="E22" s="10"/>
      <c r="F22" s="10"/>
      <c r="G22" s="10"/>
      <c r="H22" s="10"/>
      <c r="I22" s="10"/>
      <c r="J22" s="10"/>
      <c r="K22" s="10"/>
      <c r="L22" s="10"/>
      <c r="M22" s="10"/>
      <c r="N22" s="10"/>
    </row>
    <row r="23" spans="1:14" x14ac:dyDescent="0.3">
      <c r="A23" s="10"/>
      <c r="B23" s="10"/>
      <c r="C23" s="10"/>
      <c r="D23" s="10"/>
      <c r="E23" s="10"/>
      <c r="F23" s="10"/>
      <c r="G23" s="10"/>
      <c r="H23" s="10"/>
      <c r="I23" s="10"/>
      <c r="J23" s="10"/>
      <c r="K23" s="10"/>
      <c r="L23" s="10"/>
      <c r="M23" s="10"/>
      <c r="N23" s="10"/>
    </row>
    <row r="24" spans="1:14" x14ac:dyDescent="0.3">
      <c r="A24" s="10"/>
      <c r="B24" s="10"/>
      <c r="C24" s="10"/>
      <c r="D24" s="10"/>
      <c r="E24" s="10"/>
      <c r="F24" s="10"/>
      <c r="G24" s="10"/>
      <c r="H24" s="10"/>
      <c r="I24" s="10"/>
      <c r="J24" s="10"/>
      <c r="K24" s="10"/>
      <c r="L24" s="10"/>
      <c r="M24" s="10"/>
      <c r="N24" s="10"/>
    </row>
    <row r="25" spans="1:14" x14ac:dyDescent="0.3">
      <c r="A25" s="10"/>
      <c r="B25" s="10"/>
      <c r="C25" s="10"/>
      <c r="D25" s="10"/>
      <c r="E25" s="10"/>
      <c r="F25" s="10"/>
      <c r="G25" s="10"/>
      <c r="H25" s="10"/>
      <c r="I25" s="10"/>
      <c r="J25" s="10"/>
      <c r="K25" s="10"/>
      <c r="L25" s="10"/>
      <c r="M25" s="10"/>
      <c r="N25" s="10"/>
    </row>
  </sheetData>
  <pageMargins left="0.7" right="0.7" top="0.75" bottom="0.75" header="0.3" footer="0.3"/>
  <pageSetup scale="7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Interim Audit Requirements</vt:lpstr>
      <vt:lpstr>Audit Status</vt:lpstr>
      <vt:lpstr>'Audit Status'!Print_Area</vt:lpstr>
      <vt:lpstr>'Interim Audit Requirements'!Print_Titles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Sultan M Kakar</dc:creator>
  <cp:lastModifiedBy>Alamin Sokrab</cp:lastModifiedBy>
  <cp:lastPrinted>2021-12-26T13:39:09Z</cp:lastPrinted>
  <dcterms:created xsi:type="dcterms:W3CDTF">2020-11-18T06:29:44Z</dcterms:created>
  <dcterms:modified xsi:type="dcterms:W3CDTF">2026-08-12T07:49:37Z</dcterms:modified>
</cp:coreProperties>
</file>